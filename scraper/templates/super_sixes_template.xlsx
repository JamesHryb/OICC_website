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Fixtures_Results" sheetId="2" r:id="rId6"/>
    <sheet state="visible" name="Batting" sheetId="3" r:id="rId7"/>
    <sheet state="visible" name="Bowling" sheetId="4" r:id="rId8"/>
    <sheet state="visible" name="Players" sheetId="5" r:id="rId9"/>
    <sheet state="visible" name="Teams" sheetId="6" r:id="rId10"/>
  </sheets>
  <definedNames>
    <definedName name="Sunrisers_Harlington">Players!$A$52:$A$61</definedName>
    <definedName name="Mumbai_Indians_Imperial">Players!$A$12:$A$21</definedName>
    <definedName name="Crabtree_CC">Players!$A$2:$A$11</definedName>
    <definedName name="Redback_Rapscallions">Players!$A$42:$A$51</definedName>
    <definedName name="Take_Em_Deep">Players!$A$22:$A$31</definedName>
    <definedName name="Fable_6">Players!$A$32:$A$41</definedName>
  </definedNames>
  <calcPr/>
</workbook>
</file>

<file path=xl/sharedStrings.xml><?xml version="1.0" encoding="utf-8"?>
<sst xmlns="http://schemas.openxmlformats.org/spreadsheetml/2006/main" count="370" uniqueCount="124">
  <si>
    <t>Imperial Super Sixes — Scorer's Spreadsheet</t>
  </si>
  <si>
    <t>MatchNo</t>
  </si>
  <si>
    <t>Innings</t>
  </si>
  <si>
    <t>How this works:</t>
  </si>
  <si>
    <t>1. Fill in the Teams tab once, before the day (team names + which group they're in).</t>
  </si>
  <si>
    <t>2. Fill in the Players tab once, before the day (one row per player + their team) — this</t>
  </si>
  <si>
    <t xml:space="preserve">   turns the Player column in Batting/Bowling into a dropdown instead of free typing.</t>
  </si>
  <si>
    <t>3. Fill in the Fixtures_Results tab: the running order is already sketched out below —</t>
  </si>
  <si>
    <t xml:space="preserve">   edit team names for the knockout rounds once group results are known.</t>
  </si>
  <si>
    <t>4. After each match, update its row in Fixtures_Results (Status + both teams' scores),</t>
  </si>
  <si>
    <t xml:space="preserve">   then add one row per batter to Batting and one row per bowler to Bowling.</t>
  </si>
  <si>
    <t>5. The website re-reads this spreadsheet automatically every few minutes. To force an</t>
  </si>
  <si>
    <t xml:space="preserve">   immediate refresh, use the 'Run workflow' button on the GitHub Actions tab.</t>
  </si>
  <si>
    <t>Column notes:</t>
  </si>
  <si>
    <t xml:space="preserve">  Status (Fixtures_Results): Scheduled / Live / Complete / Abandoned / Cancelled</t>
  </si>
  <si>
    <t xml:space="preserve">  BattedFirst (Fixtures_Results): A or B — which team's innings came first (needed to</t>
  </si>
  <si>
    <t xml:space="preserve">    correctly report 'won by N runs' vs 'won by N wickets'). Leave blank if unsure.</t>
  </si>
  <si>
    <t xml:space="preserve">  Round: Group A / Group B / Semi Final 1 / Semi Final 2 / 3rd Place Playoff / Final /</t>
  </si>
  <si>
    <t xml:space="preserve">    Wooden Spoon — must match exactly (including capitalisation) for the bracket to work.</t>
  </si>
  <si>
    <t xml:space="preserve">  Team (Fixtures_Results/Batting/Bowling), TeamA/TeamB: pick from the dropdown — it's</t>
  </si>
  <si>
    <t xml:space="preserve">    built from the Teams tab, so update Teams first if a team name needs to change.</t>
  </si>
  <si>
    <t xml:space="preserve">  Player (Batting/Bowling): pick from the dropdown — it's built from the Players tab.</t>
  </si>
  <si>
    <t xml:space="preserve">  HowOut (Batting): not out / b / ct / lbw / run out / st / hw</t>
  </si>
  <si>
    <t xml:space="preserve">  Overs (Bowling): cricket notation, e.g. 3.4 = 3 overs and 4 balls (not 3.4 overs decimal).</t>
  </si>
  <si>
    <t>Matches are 5 overs a side — the website uses this to compute Net Run Rate correctly for</t>
  </si>
  <si>
    <t>teams bowled out early. If the format changes, say so and the site config can be updated.</t>
  </si>
  <si>
    <t>Keep team and player names byte-for-byte identical across tabs — use the dropdowns rather</t>
  </si>
  <si>
    <t>than retyping, or the group table and stats will split someone into two separate entries.</t>
  </si>
  <si>
    <t>Full setup guide: scraper/SUPER_SIXES_GUIDE.md in the website repository.</t>
  </si>
  <si>
    <t>Round</t>
  </si>
  <si>
    <t>Team1</t>
  </si>
  <si>
    <t>Batting Team</t>
  </si>
  <si>
    <t>Bowling Team</t>
  </si>
  <si>
    <t>Team2</t>
  </si>
  <si>
    <t>Bowler</t>
  </si>
  <si>
    <t>Player</t>
  </si>
  <si>
    <t>Overs</t>
  </si>
  <si>
    <t>BatTeam1</t>
  </si>
  <si>
    <t>Runs</t>
  </si>
  <si>
    <t>Maidens</t>
  </si>
  <si>
    <t>Balls</t>
  </si>
  <si>
    <t>BatTeam2</t>
  </si>
  <si>
    <t>Fours</t>
  </si>
  <si>
    <t>Wickets</t>
  </si>
  <si>
    <t>Time</t>
  </si>
  <si>
    <t>Sixes</t>
  </si>
  <si>
    <t>HowOut</t>
  </si>
  <si>
    <t>Status</t>
  </si>
  <si>
    <t>BattedFirst</t>
  </si>
  <si>
    <t>Fielder</t>
  </si>
  <si>
    <t>Team1_Runs</t>
  </si>
  <si>
    <t>Team1_Wickets</t>
  </si>
  <si>
    <t>Team1_Overs</t>
  </si>
  <si>
    <t>Team2_Runs</t>
  </si>
  <si>
    <t>Team2_Wickets</t>
  </si>
  <si>
    <t>Team2_Overs</t>
  </si>
  <si>
    <t>Notes</t>
  </si>
  <si>
    <t>Group A</t>
  </si>
  <si>
    <t>Take Em Deep</t>
  </si>
  <si>
    <t>Crabtree CC</t>
  </si>
  <si>
    <t>Team</t>
  </si>
  <si>
    <t>Suhas</t>
  </si>
  <si>
    <t>Sree</t>
  </si>
  <si>
    <t>Sid</t>
  </si>
  <si>
    <t>Joel</t>
  </si>
  <si>
    <t>George</t>
  </si>
  <si>
    <t>Matt G</t>
  </si>
  <si>
    <t>BJ</t>
  </si>
  <si>
    <t>Scheduled</t>
  </si>
  <si>
    <t>James H</t>
  </si>
  <si>
    <t>Mumbai Indians Imperial</t>
  </si>
  <si>
    <t>Ameya</t>
  </si>
  <si>
    <t>Sheth</t>
  </si>
  <si>
    <t>Ashish</t>
  </si>
  <si>
    <t>Ish</t>
  </si>
  <si>
    <t>Haider</t>
  </si>
  <si>
    <t>Group B</t>
  </si>
  <si>
    <t>Fable 6</t>
  </si>
  <si>
    <t>Redback Rapscallions</t>
  </si>
  <si>
    <t>Deep</t>
  </si>
  <si>
    <t>Ro Shah</t>
  </si>
  <si>
    <t>Ro Shen</t>
  </si>
  <si>
    <t>Kamaljit</t>
  </si>
  <si>
    <t>Dhyey</t>
  </si>
  <si>
    <t>Mithun</t>
  </si>
  <si>
    <t>Madhav</t>
  </si>
  <si>
    <t>Himanshu</t>
  </si>
  <si>
    <t>Het</t>
  </si>
  <si>
    <t>Sunrisers Harlington</t>
  </si>
  <si>
    <t>Henil</t>
  </si>
  <si>
    <t>Shivannk</t>
  </si>
  <si>
    <t>Darshil</t>
  </si>
  <si>
    <t>Shivit</t>
  </si>
  <si>
    <t>Deano</t>
  </si>
  <si>
    <t>Vik</t>
  </si>
  <si>
    <t>Hogan</t>
  </si>
  <si>
    <t>Lizzie</t>
  </si>
  <si>
    <t>Ach</t>
  </si>
  <si>
    <t>Chaz</t>
  </si>
  <si>
    <t>Rohil</t>
  </si>
  <si>
    <t>not out</t>
  </si>
  <si>
    <t>Saj</t>
  </si>
  <si>
    <t>Semi Final 1</t>
  </si>
  <si>
    <t>Tom H</t>
  </si>
  <si>
    <t>TBC</t>
  </si>
  <si>
    <t>Manny</t>
  </si>
  <si>
    <t>Josh D</t>
  </si>
  <si>
    <t>Ahad</t>
  </si>
  <si>
    <t>Venkies</t>
  </si>
  <si>
    <t>Winner Group A v Runner-up Group B</t>
  </si>
  <si>
    <t>Semi Final 2</t>
  </si>
  <si>
    <t>Winner Group B v Runner-up Group A</t>
  </si>
  <si>
    <t>Wooden Spoon</t>
  </si>
  <si>
    <t>Losers of the semi-finals</t>
  </si>
  <si>
    <t>3rd Place Playoff</t>
  </si>
  <si>
    <t>Winners of the semi-finals</t>
  </si>
  <si>
    <t>Final</t>
  </si>
  <si>
    <t>3rd-placed teams in each group</t>
  </si>
  <si>
    <t>Group</t>
  </si>
  <si>
    <t>A</t>
  </si>
  <si>
    <t>B</t>
  </si>
  <si>
    <t>ct</t>
  </si>
  <si>
    <t>b</t>
  </si>
  <si>
    <t>hw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</si>
</sst>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6">
    <font>
      <sz val="11.0"/>
      <color theme="1"/>
      <name val="Calibri"/>
      <scheme val="minor"/>
    </font>
    <font>
      <b/>
      <color rgb="FFFFFFFF"/>
      <name val="Calibri"/>
    </font>
    <font>
      <b/>
      <sz val="14.0"/>
      <color rgb="FF003F87"/>
      <name val="Calibri"/>
    </font>
    <font>
      <b/>
      <color rgb="FF003F87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3F87"/>
        <bgColor rgb="FF003F87"/>
      </patternFill>
    </fill>
    <fill>
      <patternFill patternType="solid">
        <fgColor rgb="FFCFE2F3"/>
        <bgColor rgb="FFCF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0" fillId="3" fontId="4" numFmtId="0" xfId="0" applyFill="1" applyFont="1"/>
    <xf borderId="0" fillId="0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2" t="s">
        <v>0</v>
      </c>
    </row>
    <row r="3">
      <c r="A3" s="3" t="s">
        <v>3</v>
      </c>
    </row>
    <row r="4">
      <c r="A4" s="4" t="s">
        <v>4</v>
      </c>
    </row>
    <row r="5">
      <c r="A5" s="4" t="s">
        <v>5</v>
      </c>
    </row>
    <row r="6">
      <c r="A6" s="4" t="s">
        <v>6</v>
      </c>
    </row>
    <row r="7">
      <c r="A7" s="4" t="s">
        <v>7</v>
      </c>
    </row>
    <row r="8">
      <c r="A8" s="4" t="s">
        <v>8</v>
      </c>
    </row>
    <row r="9">
      <c r="A9" s="4" t="s">
        <v>9</v>
      </c>
    </row>
    <row r="10">
      <c r="A10" s="4" t="s">
        <v>10</v>
      </c>
    </row>
    <row r="11">
      <c r="A11" s="4" t="s">
        <v>11</v>
      </c>
    </row>
    <row r="12">
      <c r="A12" s="4" t="s">
        <v>12</v>
      </c>
    </row>
    <row r="14">
      <c r="A14" s="3" t="s">
        <v>13</v>
      </c>
    </row>
    <row r="15">
      <c r="A15" s="4" t="s">
        <v>14</v>
      </c>
    </row>
    <row r="16">
      <c r="A16" s="4" t="s">
        <v>15</v>
      </c>
    </row>
    <row r="17">
      <c r="A17" s="4" t="s">
        <v>16</v>
      </c>
    </row>
    <row r="18">
      <c r="A18" s="4" t="s">
        <v>17</v>
      </c>
    </row>
    <row r="19">
      <c r="A19" s="4" t="s">
        <v>18</v>
      </c>
    </row>
    <row r="20">
      <c r="A20" s="4" t="s">
        <v>19</v>
      </c>
    </row>
    <row r="21" ht="15.75" customHeight="1">
      <c r="A21" s="4" t="s">
        <v>20</v>
      </c>
    </row>
    <row r="22" ht="15.75" customHeight="1">
      <c r="A22" s="4" t="s">
        <v>21</v>
      </c>
    </row>
    <row r="23" ht="15.75" customHeight="1">
      <c r="A23" s="4" t="s">
        <v>22</v>
      </c>
    </row>
    <row r="24" ht="15.75" customHeight="1">
      <c r="A24" s="4" t="s">
        <v>23</v>
      </c>
    </row>
    <row r="25" ht="15.75" customHeight="1"/>
    <row r="26" ht="15.75" customHeight="1">
      <c r="A26" s="4" t="s">
        <v>24</v>
      </c>
    </row>
    <row r="27" ht="15.75" customHeight="1">
      <c r="A27" s="4" t="s">
        <v>25</v>
      </c>
    </row>
    <row r="28" ht="15.75" customHeight="1"/>
    <row r="29" ht="15.75" customHeight="1">
      <c r="A29" s="4" t="s">
        <v>26</v>
      </c>
    </row>
    <row r="30" ht="15.75" customHeight="1">
      <c r="A30" s="4" t="s">
        <v>27</v>
      </c>
    </row>
    <row r="31" ht="15.75" customHeight="1"/>
    <row r="32" ht="15.75" customHeight="1">
      <c r="A32" s="4" t="s">
        <v>28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4" width="25.86"/>
    <col customWidth="1" hidden="1" min="5" max="6" width="25.86"/>
    <col customWidth="1" min="7" max="7" width="8.0"/>
    <col customWidth="1" min="8" max="9" width="11.0"/>
    <col customWidth="1" min="10" max="10" width="8.71"/>
    <col customWidth="1" min="11" max="11" width="9.57"/>
    <col customWidth="1" min="12" max="12" width="9.14"/>
    <col customWidth="1" min="13" max="13" width="7.86"/>
    <col customWidth="1" min="14" max="14" width="9.43"/>
    <col customWidth="1" min="15" max="15" width="8.43"/>
    <col customWidth="1" min="16" max="16" width="32.0"/>
    <col customWidth="1" min="17" max="28" width="8.71"/>
  </cols>
  <sheetData>
    <row r="1">
      <c r="A1" s="1" t="s">
        <v>1</v>
      </c>
      <c r="B1" s="1" t="s">
        <v>29</v>
      </c>
      <c r="C1" s="5" t="s">
        <v>30</v>
      </c>
      <c r="D1" s="5" t="s">
        <v>33</v>
      </c>
      <c r="E1" s="5" t="s">
        <v>37</v>
      </c>
      <c r="F1" s="5" t="s">
        <v>41</v>
      </c>
      <c r="G1" s="1" t="s">
        <v>44</v>
      </c>
      <c r="H1" s="1" t="s">
        <v>47</v>
      </c>
      <c r="I1" s="1" t="s">
        <v>48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1" t="s">
        <v>56</v>
      </c>
    </row>
    <row r="2">
      <c r="A2" s="4">
        <v>1.0</v>
      </c>
      <c r="B2" s="4" t="s">
        <v>57</v>
      </c>
      <c r="C2" s="7" t="s">
        <v>58</v>
      </c>
      <c r="D2" s="7" t="s">
        <v>59</v>
      </c>
      <c r="E2" s="7" t="str">
        <f t="shared" ref="E2:E12" si="1">IF(I2=1,C2,D2)</f>
        <v>Crabtree CC</v>
      </c>
      <c r="F2" s="7" t="str">
        <f t="shared" ref="F2:F12" si="2">if(I2=1,D2,C2)</f>
        <v>Take Em Deep</v>
      </c>
      <c r="G2" s="9">
        <v>0.4166666666666667</v>
      </c>
      <c r="H2" s="6" t="s">
        <v>68</v>
      </c>
      <c r="I2" s="8">
        <v>2.0</v>
      </c>
      <c r="J2" s="10">
        <v>56.0</v>
      </c>
      <c r="K2" s="10">
        <v>2.0</v>
      </c>
      <c r="L2" s="10">
        <v>5.0</v>
      </c>
      <c r="M2" s="10">
        <v>54.0</v>
      </c>
      <c r="N2" s="10">
        <v>5.0</v>
      </c>
      <c r="O2" s="10">
        <v>5.0</v>
      </c>
      <c r="P2" s="11"/>
    </row>
    <row r="3">
      <c r="A3" s="4">
        <v>2.0</v>
      </c>
      <c r="B3" s="4" t="s">
        <v>76</v>
      </c>
      <c r="C3" s="7" t="s">
        <v>77</v>
      </c>
      <c r="D3" s="7" t="s">
        <v>78</v>
      </c>
      <c r="E3" s="7" t="str">
        <f t="shared" si="1"/>
        <v>Fable 6</v>
      </c>
      <c r="F3" s="7" t="str">
        <f t="shared" si="2"/>
        <v>Redback Rapscallions</v>
      </c>
      <c r="G3" s="9">
        <v>0.4375</v>
      </c>
      <c r="H3" s="6" t="s">
        <v>68</v>
      </c>
      <c r="I3" s="8">
        <v>1.0</v>
      </c>
      <c r="J3" s="11"/>
      <c r="K3" s="11"/>
      <c r="L3" s="11"/>
      <c r="M3" s="11"/>
      <c r="N3" s="11"/>
      <c r="O3" s="11"/>
      <c r="P3" s="11"/>
    </row>
    <row r="4">
      <c r="A4" s="4">
        <v>3.0</v>
      </c>
      <c r="B4" s="4" t="s">
        <v>57</v>
      </c>
      <c r="C4" s="7" t="s">
        <v>59</v>
      </c>
      <c r="D4" s="7" t="s">
        <v>70</v>
      </c>
      <c r="E4" s="7" t="str">
        <f t="shared" si="1"/>
        <v>Crabtree CC</v>
      </c>
      <c r="F4" s="7" t="str">
        <f t="shared" si="2"/>
        <v>Mumbai Indians Imperial</v>
      </c>
      <c r="G4" s="9">
        <v>0.4583333333333333</v>
      </c>
      <c r="H4" s="6" t="s">
        <v>68</v>
      </c>
      <c r="I4" s="8">
        <v>1.0</v>
      </c>
      <c r="J4" s="11"/>
      <c r="K4" s="11"/>
      <c r="L4" s="11"/>
      <c r="M4" s="11"/>
      <c r="N4" s="11"/>
      <c r="O4" s="11"/>
      <c r="P4" s="11"/>
    </row>
    <row r="5">
      <c r="A5" s="4">
        <v>4.0</v>
      </c>
      <c r="B5" s="4" t="s">
        <v>76</v>
      </c>
      <c r="C5" s="7" t="s">
        <v>77</v>
      </c>
      <c r="D5" s="7" t="s">
        <v>88</v>
      </c>
      <c r="E5" s="7" t="str">
        <f t="shared" si="1"/>
        <v>Fable 6</v>
      </c>
      <c r="F5" s="7" t="str">
        <f t="shared" si="2"/>
        <v>Sunrisers Harlington</v>
      </c>
      <c r="G5" s="9">
        <v>0.4791666666666667</v>
      </c>
      <c r="H5" s="6" t="s">
        <v>68</v>
      </c>
      <c r="I5" s="8">
        <v>1.0</v>
      </c>
      <c r="J5" s="11"/>
      <c r="K5" s="11"/>
      <c r="L5" s="11"/>
      <c r="M5" s="11"/>
      <c r="N5" s="11"/>
      <c r="O5" s="11"/>
      <c r="P5" s="11"/>
    </row>
    <row r="6">
      <c r="A6" s="4">
        <v>5.0</v>
      </c>
      <c r="B6" s="4" t="s">
        <v>57</v>
      </c>
      <c r="C6" s="7" t="s">
        <v>70</v>
      </c>
      <c r="D6" s="7" t="s">
        <v>58</v>
      </c>
      <c r="E6" s="7" t="str">
        <f t="shared" si="1"/>
        <v>Mumbai Indians Imperial</v>
      </c>
      <c r="F6" s="7" t="str">
        <f t="shared" si="2"/>
        <v>Take Em Deep</v>
      </c>
      <c r="G6" s="9">
        <v>0.5</v>
      </c>
      <c r="H6" s="6" t="s">
        <v>68</v>
      </c>
      <c r="I6" s="8">
        <v>1.0</v>
      </c>
      <c r="J6" s="11"/>
      <c r="K6" s="11"/>
      <c r="L6" s="11"/>
      <c r="M6" s="11"/>
      <c r="N6" s="11"/>
      <c r="O6" s="11"/>
      <c r="P6" s="11"/>
    </row>
    <row r="7">
      <c r="A7" s="4">
        <v>6.0</v>
      </c>
      <c r="B7" s="4" t="s">
        <v>76</v>
      </c>
      <c r="C7" s="7" t="s">
        <v>78</v>
      </c>
      <c r="D7" s="7" t="s">
        <v>88</v>
      </c>
      <c r="E7" s="7" t="str">
        <f t="shared" si="1"/>
        <v>Redback Rapscallions</v>
      </c>
      <c r="F7" s="7" t="str">
        <f t="shared" si="2"/>
        <v>Sunrisers Harlington</v>
      </c>
      <c r="G7" s="9">
        <v>0.5208333333333334</v>
      </c>
      <c r="H7" s="6" t="s">
        <v>68</v>
      </c>
      <c r="I7" s="8">
        <v>1.0</v>
      </c>
      <c r="J7" s="11"/>
      <c r="K7" s="11"/>
      <c r="L7" s="11"/>
      <c r="M7" s="11"/>
      <c r="N7" s="11"/>
      <c r="O7" s="11"/>
      <c r="P7" s="11"/>
    </row>
    <row r="8">
      <c r="A8" s="4">
        <v>7.0</v>
      </c>
      <c r="B8" s="4" t="s">
        <v>102</v>
      </c>
      <c r="C8" s="4" t="s">
        <v>104</v>
      </c>
      <c r="D8" s="4" t="s">
        <v>104</v>
      </c>
      <c r="E8" s="7" t="str">
        <f t="shared" si="1"/>
        <v>TBC</v>
      </c>
      <c r="F8" s="7" t="str">
        <f t="shared" si="2"/>
        <v>TBC</v>
      </c>
      <c r="G8" s="9">
        <v>0.5625</v>
      </c>
      <c r="H8" s="6" t="s">
        <v>68</v>
      </c>
      <c r="I8" s="8">
        <v>1.0</v>
      </c>
      <c r="J8" s="11"/>
      <c r="K8" s="11"/>
      <c r="L8" s="11"/>
      <c r="M8" s="11"/>
      <c r="N8" s="11"/>
      <c r="O8" s="11"/>
      <c r="P8" s="6" t="s">
        <v>109</v>
      </c>
    </row>
    <row r="9">
      <c r="A9" s="4">
        <v>8.0</v>
      </c>
      <c r="B9" s="4" t="s">
        <v>110</v>
      </c>
      <c r="C9" s="4" t="s">
        <v>104</v>
      </c>
      <c r="D9" s="4" t="s">
        <v>104</v>
      </c>
      <c r="E9" s="7" t="str">
        <f t="shared" si="1"/>
        <v>TBC</v>
      </c>
      <c r="F9" s="7" t="str">
        <f t="shared" si="2"/>
        <v>TBC</v>
      </c>
      <c r="G9" s="9">
        <v>0.6041666666666666</v>
      </c>
      <c r="H9" s="6" t="s">
        <v>68</v>
      </c>
      <c r="I9" s="8">
        <v>1.0</v>
      </c>
      <c r="J9" s="11"/>
      <c r="K9" s="11"/>
      <c r="L9" s="11"/>
      <c r="M9" s="11"/>
      <c r="N9" s="11"/>
      <c r="O9" s="11"/>
      <c r="P9" s="6" t="s">
        <v>111</v>
      </c>
    </row>
    <row r="10">
      <c r="A10" s="4">
        <v>9.0</v>
      </c>
      <c r="B10" s="7" t="s">
        <v>112</v>
      </c>
      <c r="C10" s="4" t="s">
        <v>104</v>
      </c>
      <c r="D10" s="4" t="s">
        <v>104</v>
      </c>
      <c r="E10" s="7" t="str">
        <f t="shared" si="1"/>
        <v>TBC</v>
      </c>
      <c r="F10" s="7" t="str">
        <f t="shared" si="2"/>
        <v>TBC</v>
      </c>
      <c r="G10" s="9">
        <v>0.625</v>
      </c>
      <c r="H10" s="6" t="s">
        <v>68</v>
      </c>
      <c r="I10" s="8">
        <v>1.0</v>
      </c>
      <c r="J10" s="11"/>
      <c r="K10" s="11"/>
      <c r="L10" s="11"/>
      <c r="M10" s="11"/>
      <c r="N10" s="11"/>
      <c r="O10" s="11"/>
      <c r="P10" s="6" t="s">
        <v>113</v>
      </c>
    </row>
    <row r="11">
      <c r="A11" s="4">
        <v>10.0</v>
      </c>
      <c r="B11" s="7" t="s">
        <v>114</v>
      </c>
      <c r="C11" s="4" t="s">
        <v>104</v>
      </c>
      <c r="D11" s="4" t="s">
        <v>104</v>
      </c>
      <c r="E11" s="7" t="str">
        <f t="shared" si="1"/>
        <v>TBC</v>
      </c>
      <c r="F11" s="7" t="str">
        <f t="shared" si="2"/>
        <v>TBC</v>
      </c>
      <c r="G11" s="9">
        <v>0.6458333333333334</v>
      </c>
      <c r="H11" s="6" t="s">
        <v>68</v>
      </c>
      <c r="I11" s="8">
        <v>1.0</v>
      </c>
      <c r="J11" s="11"/>
      <c r="K11" s="11"/>
      <c r="L11" s="11"/>
      <c r="M11" s="11"/>
      <c r="N11" s="11"/>
      <c r="O11" s="11"/>
      <c r="P11" s="6" t="s">
        <v>115</v>
      </c>
    </row>
    <row r="12">
      <c r="A12" s="4">
        <v>11.0</v>
      </c>
      <c r="B12" s="7" t="s">
        <v>116</v>
      </c>
      <c r="C12" s="4" t="s">
        <v>104</v>
      </c>
      <c r="D12" s="4" t="s">
        <v>104</v>
      </c>
      <c r="E12" s="7" t="str">
        <f t="shared" si="1"/>
        <v>TBC</v>
      </c>
      <c r="F12" s="7" t="str">
        <f t="shared" si="2"/>
        <v>TBC</v>
      </c>
      <c r="G12" s="9">
        <v>0.6666666666666666</v>
      </c>
      <c r="H12" s="6" t="s">
        <v>68</v>
      </c>
      <c r="I12" s="8">
        <v>1.0</v>
      </c>
      <c r="J12" s="11"/>
      <c r="K12" s="11"/>
      <c r="L12" s="11"/>
      <c r="M12" s="11"/>
      <c r="N12" s="11"/>
      <c r="O12" s="11"/>
      <c r="P12" s="6" t="s">
        <v>117</v>
      </c>
    </row>
    <row r="13">
      <c r="B13" s="4"/>
      <c r="C13" s="4"/>
      <c r="D13" s="4"/>
      <c r="E13" s="4"/>
      <c r="F13" s="4"/>
      <c r="H13" s="4"/>
      <c r="I13" s="4"/>
    </row>
    <row r="14">
      <c r="B14" s="4"/>
      <c r="C14" s="4"/>
      <c r="D14" s="4"/>
      <c r="E14" s="4"/>
      <c r="F14" s="4"/>
      <c r="H14" s="4"/>
      <c r="I14" s="4"/>
    </row>
    <row r="15">
      <c r="B15" s="4"/>
      <c r="C15" s="4"/>
      <c r="D15" s="4"/>
      <c r="E15" s="4"/>
      <c r="F15" s="4"/>
      <c r="H15" s="4"/>
      <c r="I15" s="4"/>
    </row>
    <row r="16">
      <c r="B16" s="4"/>
      <c r="C16" s="4"/>
      <c r="D16" s="4"/>
      <c r="E16" s="4"/>
      <c r="F16" s="4"/>
      <c r="H16" s="4"/>
      <c r="I16" s="4"/>
    </row>
    <row r="17">
      <c r="B17" s="4"/>
      <c r="C17" s="4"/>
      <c r="D17" s="4"/>
      <c r="E17" s="4"/>
      <c r="F17" s="4"/>
      <c r="H17" s="4"/>
      <c r="I17" s="4"/>
    </row>
    <row r="18">
      <c r="B18" s="4"/>
      <c r="C18" s="4"/>
      <c r="D18" s="4"/>
      <c r="E18" s="4"/>
      <c r="F18" s="4"/>
      <c r="H18" s="4"/>
      <c r="I18" s="4"/>
    </row>
    <row r="19">
      <c r="B19" s="4"/>
      <c r="C19" s="4"/>
      <c r="D19" s="4"/>
      <c r="E19" s="4"/>
      <c r="F19" s="4"/>
      <c r="H19" s="4"/>
      <c r="I19" s="4"/>
    </row>
    <row r="20">
      <c r="B20" s="4"/>
      <c r="C20" s="4"/>
      <c r="D20" s="4"/>
      <c r="E20" s="4"/>
      <c r="F20" s="4"/>
      <c r="H20" s="4"/>
      <c r="I20" s="4"/>
    </row>
    <row r="21" ht="15.75" customHeight="1">
      <c r="B21" s="4"/>
      <c r="C21" s="4"/>
      <c r="D21" s="4"/>
      <c r="E21" s="4"/>
      <c r="F21" s="4"/>
      <c r="H21" s="4"/>
      <c r="I21" s="4"/>
    </row>
    <row r="22" ht="15.75" customHeight="1">
      <c r="B22" s="4"/>
      <c r="C22" s="4"/>
      <c r="D22" s="4"/>
      <c r="E22" s="4"/>
      <c r="F22" s="4"/>
      <c r="H22" s="4"/>
      <c r="I22" s="4"/>
    </row>
    <row r="23" ht="15.75" customHeight="1">
      <c r="B23" s="4"/>
      <c r="C23" s="4"/>
      <c r="D23" s="4"/>
      <c r="E23" s="4"/>
      <c r="F23" s="4"/>
      <c r="H23" s="4"/>
      <c r="I23" s="4"/>
    </row>
    <row r="24" ht="15.75" customHeight="1">
      <c r="B24" s="4"/>
      <c r="C24" s="4"/>
      <c r="D24" s="4"/>
      <c r="E24" s="4"/>
      <c r="F24" s="4"/>
      <c r="H24" s="4"/>
      <c r="I24" s="4"/>
    </row>
    <row r="25" ht="15.75" customHeight="1">
      <c r="B25" s="4"/>
      <c r="C25" s="4"/>
      <c r="D25" s="4"/>
      <c r="E25" s="4"/>
      <c r="F25" s="4"/>
      <c r="H25" s="4"/>
      <c r="I25" s="4"/>
    </row>
    <row r="26" ht="15.75" customHeight="1">
      <c r="B26" s="4"/>
      <c r="C26" s="4"/>
      <c r="D26" s="4"/>
      <c r="E26" s="4"/>
      <c r="F26" s="4"/>
      <c r="H26" s="4"/>
      <c r="I26" s="4"/>
    </row>
    <row r="27" ht="15.75" customHeight="1">
      <c r="B27" s="4"/>
      <c r="C27" s="4"/>
      <c r="D27" s="4"/>
      <c r="E27" s="4"/>
      <c r="F27" s="4"/>
      <c r="H27" s="4"/>
      <c r="I27" s="4"/>
    </row>
    <row r="28" ht="15.75" customHeight="1">
      <c r="B28" s="4"/>
      <c r="C28" s="4"/>
      <c r="D28" s="4"/>
      <c r="E28" s="4"/>
      <c r="F28" s="4"/>
      <c r="H28" s="4"/>
      <c r="I28" s="4"/>
    </row>
    <row r="29" ht="15.75" customHeight="1">
      <c r="B29" s="4"/>
      <c r="C29" s="4"/>
      <c r="D29" s="4"/>
      <c r="E29" s="4"/>
      <c r="F29" s="4"/>
      <c r="H29" s="4"/>
      <c r="I29" s="4"/>
    </row>
    <row r="30" ht="15.75" customHeight="1">
      <c r="B30" s="4"/>
      <c r="C30" s="4"/>
      <c r="D30" s="4"/>
      <c r="E30" s="4"/>
      <c r="F30" s="4"/>
      <c r="H30" s="4"/>
      <c r="I30" s="4"/>
    </row>
    <row r="31" ht="15.75" customHeight="1">
      <c r="B31" s="4"/>
      <c r="C31" s="4"/>
      <c r="D31" s="4"/>
      <c r="E31" s="4"/>
      <c r="F31" s="4"/>
      <c r="H31" s="4"/>
      <c r="I31" s="4"/>
    </row>
    <row r="32" ht="15.75" customHeight="1">
      <c r="B32" s="4"/>
      <c r="C32" s="4"/>
      <c r="D32" s="4"/>
      <c r="E32" s="4"/>
      <c r="F32" s="4"/>
      <c r="H32" s="4"/>
      <c r="I32" s="4"/>
    </row>
    <row r="33" ht="15.75" customHeight="1">
      <c r="B33" s="4"/>
      <c r="C33" s="4"/>
      <c r="D33" s="4"/>
      <c r="E33" s="4"/>
      <c r="F33" s="4"/>
      <c r="H33" s="4"/>
      <c r="I33" s="4"/>
    </row>
    <row r="34" ht="15.75" customHeight="1">
      <c r="B34" s="4"/>
      <c r="C34" s="4"/>
      <c r="D34" s="4"/>
      <c r="E34" s="4"/>
      <c r="F34" s="4"/>
      <c r="H34" s="4"/>
      <c r="I34" s="4"/>
    </row>
    <row r="35" ht="15.75" customHeight="1">
      <c r="B35" s="4"/>
      <c r="C35" s="4"/>
      <c r="D35" s="4"/>
      <c r="E35" s="4"/>
      <c r="F35" s="4"/>
      <c r="H35" s="4"/>
      <c r="I35" s="4"/>
    </row>
    <row r="36" ht="15.75" customHeight="1">
      <c r="B36" s="4"/>
      <c r="C36" s="4"/>
      <c r="D36" s="4"/>
      <c r="E36" s="4"/>
      <c r="F36" s="4"/>
      <c r="H36" s="4"/>
      <c r="I36" s="4"/>
    </row>
    <row r="37" ht="15.75" customHeight="1">
      <c r="B37" s="4"/>
      <c r="C37" s="4"/>
      <c r="D37" s="4"/>
      <c r="E37" s="4"/>
      <c r="F37" s="4"/>
      <c r="H37" s="4"/>
      <c r="I37" s="4"/>
    </row>
    <row r="38" ht="15.75" customHeight="1">
      <c r="B38" s="4"/>
      <c r="C38" s="4"/>
      <c r="D38" s="4"/>
      <c r="E38" s="4"/>
      <c r="F38" s="4"/>
      <c r="H38" s="4"/>
      <c r="I38" s="4"/>
    </row>
    <row r="39" ht="15.75" customHeight="1">
      <c r="B39" s="4"/>
      <c r="C39" s="4"/>
      <c r="D39" s="4"/>
      <c r="E39" s="4"/>
      <c r="F39" s="4"/>
      <c r="H39" s="4"/>
      <c r="I39" s="4"/>
    </row>
    <row r="40" ht="15.75" customHeight="1">
      <c r="B40" s="4"/>
      <c r="C40" s="4"/>
      <c r="D40" s="4"/>
      <c r="E40" s="4"/>
      <c r="F40" s="4"/>
      <c r="H40" s="4"/>
      <c r="I40" s="4"/>
    </row>
    <row r="41" ht="15.75" customHeight="1">
      <c r="B41" s="4"/>
      <c r="C41" s="4"/>
      <c r="D41" s="4"/>
      <c r="E41" s="4"/>
      <c r="F41" s="4"/>
      <c r="H41" s="4"/>
      <c r="I41" s="4"/>
    </row>
    <row r="42" ht="15.75" customHeight="1">
      <c r="B42" s="4"/>
      <c r="C42" s="4"/>
      <c r="D42" s="4"/>
      <c r="E42" s="4"/>
      <c r="F42" s="4"/>
      <c r="H42" s="4"/>
      <c r="I42" s="4"/>
    </row>
    <row r="43" ht="15.75" customHeight="1">
      <c r="B43" s="4"/>
      <c r="C43" s="4"/>
      <c r="D43" s="4"/>
      <c r="E43" s="4"/>
      <c r="F43" s="4"/>
      <c r="H43" s="4"/>
      <c r="I43" s="4"/>
    </row>
    <row r="44" ht="15.75" customHeight="1">
      <c r="B44" s="4"/>
      <c r="C44" s="4"/>
      <c r="D44" s="4"/>
      <c r="E44" s="4"/>
      <c r="F44" s="4"/>
      <c r="H44" s="4"/>
      <c r="I44" s="4"/>
    </row>
    <row r="45" ht="15.75" customHeight="1">
      <c r="B45" s="4"/>
      <c r="C45" s="4"/>
      <c r="D45" s="4"/>
      <c r="E45" s="4"/>
      <c r="F45" s="4"/>
      <c r="H45" s="4"/>
      <c r="I45" s="4"/>
    </row>
    <row r="46" ht="15.75" customHeight="1">
      <c r="B46" s="4"/>
      <c r="C46" s="4"/>
      <c r="D46" s="4"/>
      <c r="E46" s="4"/>
      <c r="F46" s="4"/>
      <c r="H46" s="4"/>
      <c r="I46" s="4"/>
    </row>
    <row r="47" ht="15.75" customHeight="1">
      <c r="B47" s="4"/>
      <c r="C47" s="4"/>
      <c r="D47" s="4"/>
      <c r="E47" s="4"/>
      <c r="F47" s="4"/>
      <c r="H47" s="4"/>
      <c r="I47" s="4"/>
    </row>
    <row r="48" ht="15.75" customHeight="1">
      <c r="B48" s="4"/>
      <c r="C48" s="4"/>
      <c r="D48" s="4"/>
      <c r="E48" s="4"/>
      <c r="F48" s="4"/>
      <c r="H48" s="4"/>
      <c r="I48" s="4"/>
    </row>
    <row r="49" ht="15.75" customHeight="1">
      <c r="B49" s="4"/>
      <c r="C49" s="4"/>
      <c r="D49" s="4"/>
      <c r="E49" s="4"/>
      <c r="F49" s="4"/>
      <c r="H49" s="4"/>
      <c r="I49" s="4"/>
    </row>
    <row r="50" ht="15.75" customHeight="1">
      <c r="B50" s="4"/>
      <c r="C50" s="4"/>
      <c r="D50" s="4"/>
      <c r="E50" s="4"/>
      <c r="F50" s="4"/>
      <c r="H50" s="4"/>
      <c r="I50" s="4"/>
    </row>
    <row r="51" ht="15.75" customHeight="1">
      <c r="B51" s="4"/>
      <c r="C51" s="4"/>
      <c r="D51" s="4"/>
      <c r="E51" s="4"/>
      <c r="F51" s="4"/>
      <c r="H51" s="4"/>
      <c r="I51" s="4"/>
    </row>
    <row r="52" ht="15.75" customHeight="1">
      <c r="B52" s="4"/>
      <c r="C52" s="4"/>
      <c r="D52" s="4"/>
      <c r="E52" s="4"/>
      <c r="F52" s="4"/>
      <c r="H52" s="4"/>
      <c r="I52" s="4"/>
    </row>
    <row r="53" ht="15.75" customHeight="1">
      <c r="B53" s="4"/>
      <c r="C53" s="4"/>
      <c r="D53" s="4"/>
      <c r="E53" s="4"/>
      <c r="F53" s="4"/>
      <c r="H53" s="4"/>
      <c r="I53" s="4"/>
    </row>
    <row r="54" ht="15.75" customHeight="1">
      <c r="B54" s="4"/>
      <c r="C54" s="4"/>
      <c r="D54" s="4"/>
      <c r="E54" s="4"/>
      <c r="F54" s="4"/>
      <c r="H54" s="4"/>
      <c r="I54" s="4"/>
    </row>
    <row r="55" ht="15.75" customHeight="1">
      <c r="B55" s="4"/>
      <c r="C55" s="4"/>
      <c r="D55" s="4"/>
      <c r="E55" s="4"/>
      <c r="F55" s="4"/>
      <c r="H55" s="4"/>
      <c r="I55" s="4"/>
    </row>
    <row r="56" ht="15.75" customHeight="1">
      <c r="B56" s="4"/>
      <c r="C56" s="4"/>
      <c r="D56" s="4"/>
      <c r="E56" s="4"/>
      <c r="F56" s="4"/>
      <c r="H56" s="4"/>
      <c r="I56" s="4"/>
    </row>
    <row r="57" ht="15.75" customHeight="1">
      <c r="B57" s="4"/>
      <c r="C57" s="4"/>
      <c r="D57" s="4"/>
      <c r="E57" s="4"/>
      <c r="F57" s="4"/>
      <c r="H57" s="4"/>
      <c r="I57" s="4"/>
    </row>
    <row r="58" ht="15.75" customHeight="1">
      <c r="B58" s="4"/>
      <c r="C58" s="4"/>
      <c r="D58" s="4"/>
      <c r="E58" s="4"/>
      <c r="F58" s="4"/>
      <c r="H58" s="4"/>
      <c r="I58" s="4"/>
    </row>
    <row r="59" ht="15.75" customHeight="1">
      <c r="B59" s="4"/>
      <c r="C59" s="4"/>
      <c r="D59" s="4"/>
      <c r="E59" s="4"/>
      <c r="F59" s="4"/>
      <c r="H59" s="4"/>
      <c r="I59" s="4"/>
    </row>
    <row r="60" ht="15.75" customHeight="1">
      <c r="B60" s="4"/>
      <c r="C60" s="4"/>
      <c r="D60" s="4"/>
      <c r="E60" s="4"/>
      <c r="F60" s="4"/>
      <c r="H60" s="4"/>
      <c r="I60" s="4"/>
    </row>
    <row r="61" ht="15.75" customHeight="1">
      <c r="B61" s="4"/>
      <c r="C61" s="4"/>
      <c r="D61" s="4"/>
      <c r="E61" s="4"/>
      <c r="F61" s="4"/>
      <c r="H61" s="4"/>
      <c r="I61" s="4"/>
    </row>
    <row r="62" ht="15.75" customHeight="1">
      <c r="B62" s="4"/>
      <c r="C62" s="4"/>
      <c r="D62" s="4"/>
      <c r="E62" s="4"/>
      <c r="F62" s="4"/>
      <c r="H62" s="4"/>
      <c r="I62" s="4"/>
    </row>
    <row r="63" ht="15.75" customHeight="1">
      <c r="B63" s="4"/>
      <c r="C63" s="4"/>
      <c r="D63" s="4"/>
      <c r="E63" s="4"/>
      <c r="F63" s="4"/>
      <c r="H63" s="4"/>
      <c r="I63" s="4"/>
    </row>
    <row r="64" ht="15.75" customHeight="1">
      <c r="B64" s="4"/>
      <c r="C64" s="4"/>
      <c r="D64" s="4"/>
      <c r="E64" s="4"/>
      <c r="F64" s="4"/>
      <c r="H64" s="4"/>
      <c r="I64" s="4"/>
    </row>
    <row r="65" ht="15.75" customHeight="1">
      <c r="B65" s="4"/>
      <c r="C65" s="4"/>
      <c r="D65" s="4"/>
      <c r="E65" s="4"/>
      <c r="F65" s="4"/>
      <c r="H65" s="4"/>
      <c r="I65" s="4"/>
    </row>
    <row r="66" ht="15.75" customHeight="1">
      <c r="B66" s="4"/>
      <c r="C66" s="4"/>
      <c r="D66" s="4"/>
      <c r="E66" s="4"/>
      <c r="F66" s="4"/>
      <c r="H66" s="4"/>
      <c r="I66" s="4"/>
    </row>
    <row r="67" ht="15.75" customHeight="1">
      <c r="B67" s="4"/>
      <c r="C67" s="4"/>
      <c r="D67" s="4"/>
      <c r="E67" s="4"/>
      <c r="F67" s="4"/>
      <c r="H67" s="4"/>
      <c r="I67" s="4"/>
    </row>
    <row r="68" ht="15.75" customHeight="1">
      <c r="B68" s="4"/>
      <c r="C68" s="4"/>
      <c r="D68" s="4"/>
      <c r="E68" s="4"/>
      <c r="F68" s="4"/>
      <c r="H68" s="4"/>
      <c r="I68" s="4"/>
    </row>
    <row r="69" ht="15.75" customHeight="1">
      <c r="B69" s="4"/>
      <c r="C69" s="4"/>
      <c r="D69" s="4"/>
      <c r="E69" s="4"/>
      <c r="F69" s="4"/>
      <c r="H69" s="4"/>
      <c r="I69" s="4"/>
    </row>
    <row r="70" ht="15.75" customHeight="1">
      <c r="B70" s="4"/>
      <c r="C70" s="4"/>
      <c r="D70" s="4"/>
      <c r="E70" s="4"/>
      <c r="F70" s="4"/>
      <c r="H70" s="4"/>
      <c r="I70" s="4"/>
    </row>
    <row r="71" ht="15.75" customHeight="1">
      <c r="B71" s="4"/>
      <c r="C71" s="4"/>
      <c r="D71" s="4"/>
      <c r="E71" s="4"/>
      <c r="F71" s="4"/>
      <c r="H71" s="4"/>
      <c r="I71" s="4"/>
    </row>
    <row r="72" ht="15.75" customHeight="1">
      <c r="B72" s="4"/>
      <c r="C72" s="4"/>
      <c r="D72" s="4"/>
      <c r="E72" s="4"/>
      <c r="F72" s="4"/>
      <c r="H72" s="4"/>
      <c r="I72" s="4"/>
    </row>
    <row r="73" ht="15.75" customHeight="1">
      <c r="B73" s="4"/>
      <c r="C73" s="4"/>
      <c r="D73" s="4"/>
      <c r="E73" s="4"/>
      <c r="F73" s="4"/>
      <c r="H73" s="4"/>
      <c r="I73" s="4"/>
    </row>
    <row r="74" ht="15.75" customHeight="1">
      <c r="B74" s="4"/>
      <c r="C74" s="4"/>
      <c r="D74" s="4"/>
      <c r="E74" s="4"/>
      <c r="F74" s="4"/>
      <c r="H74" s="4"/>
      <c r="I74" s="4"/>
    </row>
    <row r="75" ht="15.75" customHeight="1">
      <c r="B75" s="4"/>
      <c r="C75" s="4"/>
      <c r="D75" s="4"/>
      <c r="E75" s="4"/>
      <c r="F75" s="4"/>
      <c r="H75" s="4"/>
      <c r="I75" s="4"/>
    </row>
    <row r="76" ht="15.75" customHeight="1">
      <c r="B76" s="4"/>
      <c r="C76" s="4"/>
      <c r="D76" s="4"/>
      <c r="E76" s="4"/>
      <c r="F76" s="4"/>
      <c r="H76" s="4"/>
      <c r="I76" s="4"/>
    </row>
    <row r="77" ht="15.75" customHeight="1">
      <c r="B77" s="4"/>
      <c r="C77" s="4"/>
      <c r="D77" s="4"/>
      <c r="E77" s="4"/>
      <c r="F77" s="4"/>
      <c r="H77" s="4"/>
      <c r="I77" s="4"/>
    </row>
    <row r="78" ht="15.75" customHeight="1">
      <c r="B78" s="4"/>
      <c r="C78" s="4"/>
      <c r="D78" s="4"/>
      <c r="E78" s="4"/>
      <c r="F78" s="4"/>
      <c r="H78" s="4"/>
      <c r="I78" s="4"/>
    </row>
    <row r="79" ht="15.75" customHeight="1">
      <c r="B79" s="4"/>
      <c r="C79" s="4"/>
      <c r="D79" s="4"/>
      <c r="E79" s="4"/>
      <c r="F79" s="4"/>
      <c r="H79" s="4"/>
      <c r="I79" s="4"/>
    </row>
    <row r="80" ht="15.75" customHeight="1">
      <c r="B80" s="4"/>
      <c r="C80" s="4"/>
      <c r="D80" s="4"/>
      <c r="E80" s="4"/>
      <c r="F80" s="4"/>
      <c r="H80" s="4"/>
      <c r="I80" s="4"/>
    </row>
    <row r="81" ht="15.75" customHeight="1">
      <c r="B81" s="4"/>
      <c r="C81" s="4"/>
      <c r="D81" s="4"/>
      <c r="E81" s="4"/>
      <c r="F81" s="4"/>
      <c r="H81" s="4"/>
      <c r="I81" s="4"/>
    </row>
    <row r="82" ht="15.75" customHeight="1">
      <c r="B82" s="4"/>
      <c r="C82" s="4"/>
      <c r="D82" s="4"/>
      <c r="E82" s="4"/>
      <c r="F82" s="4"/>
      <c r="H82" s="4"/>
      <c r="I82" s="4"/>
    </row>
    <row r="83" ht="15.75" customHeight="1">
      <c r="B83" s="4"/>
      <c r="C83" s="4"/>
      <c r="D83" s="4"/>
      <c r="E83" s="4"/>
      <c r="F83" s="4"/>
      <c r="H83" s="4"/>
      <c r="I83" s="4"/>
    </row>
    <row r="84" ht="15.75" customHeight="1">
      <c r="B84" s="4"/>
      <c r="C84" s="4"/>
      <c r="D84" s="4"/>
      <c r="E84" s="4"/>
      <c r="F84" s="4"/>
      <c r="H84" s="4"/>
      <c r="I84" s="4"/>
    </row>
    <row r="85" ht="15.75" customHeight="1">
      <c r="B85" s="4"/>
      <c r="C85" s="4"/>
      <c r="D85" s="4"/>
      <c r="E85" s="4"/>
      <c r="F85" s="4"/>
      <c r="H85" s="4"/>
      <c r="I85" s="4"/>
    </row>
    <row r="86" ht="15.75" customHeight="1">
      <c r="B86" s="4"/>
      <c r="C86" s="4"/>
      <c r="D86" s="4"/>
      <c r="E86" s="4"/>
      <c r="F86" s="4"/>
      <c r="H86" s="4"/>
      <c r="I86" s="4"/>
    </row>
    <row r="87" ht="15.75" customHeight="1">
      <c r="B87" s="4"/>
      <c r="C87" s="4"/>
      <c r="D87" s="4"/>
      <c r="E87" s="4"/>
      <c r="F87" s="4"/>
      <c r="H87" s="4"/>
      <c r="I87" s="4"/>
    </row>
    <row r="88" ht="15.75" customHeight="1">
      <c r="B88" s="4"/>
      <c r="C88" s="4"/>
      <c r="D88" s="4"/>
      <c r="E88" s="4"/>
      <c r="F88" s="4"/>
      <c r="H88" s="4"/>
      <c r="I88" s="4"/>
    </row>
    <row r="89" ht="15.75" customHeight="1">
      <c r="B89" s="4"/>
      <c r="C89" s="4"/>
      <c r="D89" s="4"/>
      <c r="E89" s="4"/>
      <c r="F89" s="4"/>
      <c r="H89" s="4"/>
      <c r="I89" s="4"/>
    </row>
    <row r="90" ht="15.75" customHeight="1">
      <c r="B90" s="4"/>
      <c r="C90" s="4"/>
      <c r="D90" s="4"/>
      <c r="E90" s="4"/>
      <c r="F90" s="4"/>
      <c r="H90" s="4"/>
      <c r="I90" s="4"/>
    </row>
    <row r="91" ht="15.75" customHeight="1">
      <c r="B91" s="4"/>
      <c r="C91" s="4"/>
      <c r="D91" s="4"/>
      <c r="E91" s="4"/>
      <c r="F91" s="4"/>
      <c r="H91" s="4"/>
      <c r="I91" s="4"/>
    </row>
    <row r="92" ht="15.75" customHeight="1">
      <c r="B92" s="4"/>
      <c r="C92" s="4"/>
      <c r="D92" s="4"/>
      <c r="E92" s="4"/>
      <c r="F92" s="4"/>
      <c r="H92" s="4"/>
      <c r="I92" s="4"/>
    </row>
    <row r="93" ht="15.75" customHeight="1">
      <c r="B93" s="4"/>
      <c r="C93" s="4"/>
      <c r="D93" s="4"/>
      <c r="E93" s="4"/>
      <c r="F93" s="4"/>
      <c r="H93" s="4"/>
      <c r="I93" s="4"/>
    </row>
    <row r="94" ht="15.75" customHeight="1">
      <c r="B94" s="4"/>
      <c r="C94" s="4"/>
      <c r="D94" s="4"/>
      <c r="E94" s="4"/>
      <c r="F94" s="4"/>
      <c r="H94" s="4"/>
      <c r="I94" s="4"/>
    </row>
    <row r="95" ht="15.75" customHeight="1">
      <c r="B95" s="4"/>
      <c r="C95" s="4"/>
      <c r="D95" s="4"/>
      <c r="E95" s="4"/>
      <c r="F95" s="4"/>
      <c r="H95" s="4"/>
      <c r="I95" s="4"/>
    </row>
    <row r="96" ht="15.75" customHeight="1">
      <c r="B96" s="4"/>
      <c r="C96" s="4"/>
      <c r="D96" s="4"/>
      <c r="E96" s="4"/>
      <c r="F96" s="4"/>
      <c r="H96" s="4"/>
      <c r="I96" s="4"/>
    </row>
    <row r="97" ht="15.75" customHeight="1">
      <c r="B97" s="4"/>
      <c r="C97" s="4"/>
      <c r="D97" s="4"/>
      <c r="E97" s="4"/>
      <c r="F97" s="4"/>
      <c r="H97" s="4"/>
      <c r="I97" s="4"/>
    </row>
    <row r="98" ht="15.75" customHeight="1">
      <c r="B98" s="4"/>
      <c r="C98" s="4"/>
      <c r="D98" s="4"/>
      <c r="E98" s="4"/>
      <c r="F98" s="4"/>
      <c r="H98" s="4"/>
      <c r="I98" s="4"/>
    </row>
    <row r="99" ht="15.75" customHeight="1">
      <c r="B99" s="4"/>
      <c r="C99" s="4"/>
      <c r="D99" s="4"/>
      <c r="E99" s="4"/>
      <c r="F99" s="4"/>
      <c r="H99" s="4"/>
      <c r="I99" s="4"/>
    </row>
    <row r="100" ht="15.75" customHeight="1">
      <c r="B100" s="4"/>
      <c r="C100" s="4"/>
      <c r="D100" s="4"/>
      <c r="E100" s="4"/>
      <c r="F100" s="4"/>
      <c r="H100" s="4"/>
      <c r="I100" s="4"/>
    </row>
    <row r="101" ht="15.75" customHeight="1">
      <c r="B101" s="4"/>
      <c r="C101" s="4"/>
      <c r="D101" s="4"/>
      <c r="E101" s="4"/>
      <c r="F101" s="4"/>
      <c r="H101" s="4"/>
      <c r="I101" s="4"/>
    </row>
    <row r="102" ht="15.75" customHeight="1">
      <c r="B102" s="4"/>
      <c r="C102" s="4"/>
      <c r="D102" s="4"/>
      <c r="E102" s="4"/>
      <c r="F102" s="4"/>
      <c r="H102" s="4"/>
      <c r="I102" s="4"/>
    </row>
    <row r="103" ht="15.75" customHeight="1">
      <c r="B103" s="4"/>
      <c r="C103" s="4"/>
      <c r="D103" s="4"/>
      <c r="E103" s="4"/>
      <c r="F103" s="4"/>
      <c r="H103" s="4"/>
      <c r="I103" s="4"/>
    </row>
    <row r="104" ht="15.75" customHeight="1">
      <c r="B104" s="4"/>
      <c r="C104" s="4"/>
      <c r="D104" s="4"/>
      <c r="E104" s="4"/>
      <c r="F104" s="4"/>
      <c r="H104" s="4"/>
      <c r="I104" s="4"/>
    </row>
    <row r="105" ht="15.75" customHeight="1">
      <c r="B105" s="4"/>
      <c r="C105" s="4"/>
      <c r="D105" s="4"/>
      <c r="E105" s="4"/>
      <c r="F105" s="4"/>
      <c r="H105" s="4"/>
      <c r="I105" s="4"/>
    </row>
    <row r="106" ht="15.75" customHeight="1">
      <c r="B106" s="4"/>
      <c r="C106" s="4"/>
      <c r="D106" s="4"/>
      <c r="E106" s="4"/>
      <c r="F106" s="4"/>
      <c r="H106" s="4"/>
      <c r="I106" s="4"/>
    </row>
    <row r="107" ht="15.75" customHeight="1">
      <c r="B107" s="4"/>
      <c r="C107" s="4"/>
      <c r="D107" s="4"/>
      <c r="E107" s="4"/>
      <c r="F107" s="4"/>
      <c r="H107" s="4"/>
      <c r="I107" s="4"/>
    </row>
    <row r="108" ht="15.75" customHeight="1">
      <c r="B108" s="4"/>
      <c r="C108" s="4"/>
      <c r="D108" s="4"/>
      <c r="E108" s="4"/>
      <c r="F108" s="4"/>
      <c r="H108" s="4"/>
      <c r="I108" s="4"/>
    </row>
    <row r="109" ht="15.75" customHeight="1">
      <c r="B109" s="4"/>
      <c r="C109" s="4"/>
      <c r="D109" s="4"/>
      <c r="E109" s="4"/>
      <c r="F109" s="4"/>
      <c r="H109" s="4"/>
      <c r="I109" s="4"/>
    </row>
    <row r="110" ht="15.75" customHeight="1">
      <c r="B110" s="4"/>
      <c r="C110" s="4"/>
      <c r="D110" s="4"/>
      <c r="E110" s="4"/>
      <c r="F110" s="4"/>
      <c r="H110" s="4"/>
      <c r="I110" s="4"/>
    </row>
    <row r="111" ht="15.75" customHeight="1">
      <c r="B111" s="4"/>
      <c r="C111" s="4"/>
      <c r="D111" s="4"/>
      <c r="E111" s="4"/>
      <c r="F111" s="4"/>
      <c r="H111" s="4"/>
      <c r="I111" s="4"/>
    </row>
    <row r="112" ht="15.75" customHeight="1">
      <c r="B112" s="4"/>
      <c r="C112" s="4"/>
      <c r="D112" s="4"/>
      <c r="E112" s="4"/>
      <c r="F112" s="4"/>
      <c r="H112" s="4"/>
      <c r="I112" s="4"/>
    </row>
    <row r="113" ht="15.75" customHeight="1">
      <c r="B113" s="4"/>
      <c r="C113" s="4"/>
      <c r="D113" s="4"/>
      <c r="E113" s="4"/>
      <c r="F113" s="4"/>
      <c r="H113" s="4"/>
      <c r="I113" s="4"/>
    </row>
    <row r="114" ht="15.75" customHeight="1">
      <c r="B114" s="4"/>
      <c r="C114" s="4"/>
      <c r="D114" s="4"/>
      <c r="E114" s="4"/>
      <c r="F114" s="4"/>
      <c r="H114" s="4"/>
      <c r="I114" s="4"/>
    </row>
    <row r="115" ht="15.75" customHeight="1">
      <c r="B115" s="4"/>
      <c r="C115" s="4"/>
      <c r="D115" s="4"/>
      <c r="E115" s="4"/>
      <c r="F115" s="4"/>
      <c r="H115" s="4"/>
      <c r="I115" s="4"/>
    </row>
    <row r="116" ht="15.75" customHeight="1">
      <c r="B116" s="4"/>
      <c r="C116" s="4"/>
      <c r="D116" s="4"/>
      <c r="E116" s="4"/>
      <c r="F116" s="4"/>
      <c r="H116" s="4"/>
      <c r="I116" s="4"/>
    </row>
    <row r="117" ht="15.75" customHeight="1">
      <c r="B117" s="4"/>
      <c r="C117" s="4"/>
      <c r="D117" s="4"/>
      <c r="E117" s="4"/>
      <c r="F117" s="4"/>
      <c r="H117" s="4"/>
      <c r="I117" s="4"/>
    </row>
    <row r="118" ht="15.75" customHeight="1">
      <c r="B118" s="4"/>
      <c r="C118" s="4"/>
      <c r="D118" s="4"/>
      <c r="E118" s="4"/>
      <c r="F118" s="4"/>
      <c r="H118" s="4"/>
      <c r="I118" s="4"/>
    </row>
    <row r="119" ht="15.75" customHeight="1">
      <c r="B119" s="4"/>
      <c r="C119" s="4"/>
      <c r="D119" s="4"/>
      <c r="E119" s="4"/>
      <c r="F119" s="4"/>
      <c r="H119" s="4"/>
      <c r="I119" s="4"/>
    </row>
    <row r="120" ht="15.75" customHeight="1">
      <c r="B120" s="4"/>
      <c r="C120" s="4"/>
      <c r="D120" s="4"/>
      <c r="E120" s="4"/>
      <c r="F120" s="4"/>
      <c r="H120" s="4"/>
      <c r="I120" s="4"/>
    </row>
    <row r="121" ht="15.75" customHeight="1">
      <c r="B121" s="4"/>
      <c r="C121" s="4"/>
      <c r="D121" s="4"/>
      <c r="E121" s="4"/>
      <c r="F121" s="4"/>
      <c r="H121" s="4"/>
      <c r="I121" s="4"/>
    </row>
    <row r="122" ht="15.75" customHeight="1">
      <c r="B122" s="4"/>
      <c r="C122" s="4"/>
      <c r="D122" s="4"/>
      <c r="E122" s="4"/>
      <c r="F122" s="4"/>
      <c r="H122" s="4"/>
      <c r="I122" s="4"/>
    </row>
    <row r="123" ht="15.75" customHeight="1">
      <c r="B123" s="4"/>
      <c r="C123" s="4"/>
      <c r="D123" s="4"/>
      <c r="E123" s="4"/>
      <c r="F123" s="4"/>
      <c r="H123" s="4"/>
      <c r="I123" s="4"/>
    </row>
    <row r="124" ht="15.75" customHeight="1">
      <c r="B124" s="4"/>
      <c r="C124" s="4"/>
      <c r="D124" s="4"/>
      <c r="E124" s="4"/>
      <c r="F124" s="4"/>
      <c r="H124" s="4"/>
      <c r="I124" s="4"/>
    </row>
    <row r="125" ht="15.75" customHeight="1">
      <c r="B125" s="4"/>
      <c r="C125" s="4"/>
      <c r="D125" s="4"/>
      <c r="E125" s="4"/>
      <c r="F125" s="4"/>
      <c r="H125" s="4"/>
      <c r="I125" s="4"/>
    </row>
    <row r="126" ht="15.75" customHeight="1">
      <c r="B126" s="4"/>
      <c r="C126" s="4"/>
      <c r="D126" s="4"/>
      <c r="E126" s="4"/>
      <c r="F126" s="4"/>
      <c r="H126" s="4"/>
      <c r="I126" s="4"/>
    </row>
    <row r="127" ht="15.75" customHeight="1">
      <c r="B127" s="4"/>
      <c r="C127" s="4"/>
      <c r="D127" s="4"/>
      <c r="E127" s="4"/>
      <c r="F127" s="4"/>
      <c r="H127" s="4"/>
      <c r="I127" s="4"/>
    </row>
    <row r="128" ht="15.75" customHeight="1">
      <c r="B128" s="4"/>
      <c r="C128" s="4"/>
      <c r="D128" s="4"/>
      <c r="E128" s="4"/>
      <c r="F128" s="4"/>
      <c r="H128" s="4"/>
      <c r="I128" s="4"/>
    </row>
    <row r="129" ht="15.75" customHeight="1">
      <c r="B129" s="4"/>
      <c r="C129" s="4"/>
      <c r="D129" s="4"/>
      <c r="E129" s="4"/>
      <c r="F129" s="4"/>
      <c r="H129" s="4"/>
      <c r="I129" s="4"/>
    </row>
    <row r="130" ht="15.75" customHeight="1">
      <c r="B130" s="4"/>
      <c r="C130" s="4"/>
      <c r="D130" s="4"/>
      <c r="E130" s="4"/>
      <c r="F130" s="4"/>
      <c r="H130" s="4"/>
      <c r="I130" s="4"/>
    </row>
    <row r="131" ht="15.75" customHeight="1">
      <c r="B131" s="4"/>
      <c r="C131" s="4"/>
      <c r="D131" s="4"/>
      <c r="E131" s="4"/>
      <c r="F131" s="4"/>
      <c r="H131" s="4"/>
      <c r="I131" s="4"/>
    </row>
    <row r="132" ht="15.75" customHeight="1">
      <c r="B132" s="4"/>
      <c r="C132" s="4"/>
      <c r="D132" s="4"/>
      <c r="E132" s="4"/>
      <c r="F132" s="4"/>
      <c r="H132" s="4"/>
      <c r="I132" s="4"/>
    </row>
    <row r="133" ht="15.75" customHeight="1">
      <c r="B133" s="4"/>
      <c r="C133" s="4"/>
      <c r="D133" s="4"/>
      <c r="E133" s="4"/>
      <c r="F133" s="4"/>
      <c r="H133" s="4"/>
      <c r="I133" s="4"/>
    </row>
    <row r="134" ht="15.75" customHeight="1">
      <c r="B134" s="4"/>
      <c r="C134" s="4"/>
      <c r="D134" s="4"/>
      <c r="E134" s="4"/>
      <c r="F134" s="4"/>
      <c r="H134" s="4"/>
      <c r="I134" s="4"/>
    </row>
    <row r="135" ht="15.75" customHeight="1">
      <c r="B135" s="4"/>
      <c r="C135" s="4"/>
      <c r="D135" s="4"/>
      <c r="E135" s="4"/>
      <c r="F135" s="4"/>
      <c r="H135" s="4"/>
      <c r="I135" s="4"/>
    </row>
    <row r="136" ht="15.75" customHeight="1">
      <c r="B136" s="4"/>
      <c r="C136" s="4"/>
      <c r="D136" s="4"/>
      <c r="E136" s="4"/>
      <c r="F136" s="4"/>
      <c r="H136" s="4"/>
      <c r="I136" s="4"/>
    </row>
    <row r="137" ht="15.75" customHeight="1">
      <c r="B137" s="4"/>
      <c r="C137" s="4"/>
      <c r="D137" s="4"/>
      <c r="E137" s="4"/>
      <c r="F137" s="4"/>
      <c r="H137" s="4"/>
      <c r="I137" s="4"/>
    </row>
    <row r="138" ht="15.75" customHeight="1">
      <c r="B138" s="4"/>
      <c r="C138" s="4"/>
      <c r="D138" s="4"/>
      <c r="E138" s="4"/>
      <c r="F138" s="4"/>
      <c r="H138" s="4"/>
      <c r="I138" s="4"/>
    </row>
    <row r="139" ht="15.75" customHeight="1">
      <c r="B139" s="4"/>
      <c r="C139" s="4"/>
      <c r="D139" s="4"/>
      <c r="E139" s="4"/>
      <c r="F139" s="4"/>
      <c r="H139" s="4"/>
      <c r="I139" s="4"/>
    </row>
    <row r="140" ht="15.75" customHeight="1">
      <c r="B140" s="4"/>
      <c r="C140" s="4"/>
      <c r="D140" s="4"/>
      <c r="E140" s="4"/>
      <c r="F140" s="4"/>
      <c r="H140" s="4"/>
      <c r="I140" s="4"/>
    </row>
    <row r="141" ht="15.75" customHeight="1">
      <c r="B141" s="4"/>
      <c r="C141" s="4"/>
      <c r="D141" s="4"/>
      <c r="E141" s="4"/>
      <c r="F141" s="4"/>
      <c r="H141" s="4"/>
      <c r="I141" s="4"/>
    </row>
    <row r="142" ht="15.75" customHeight="1">
      <c r="B142" s="4"/>
      <c r="C142" s="4"/>
      <c r="D142" s="4"/>
      <c r="E142" s="4"/>
      <c r="F142" s="4"/>
      <c r="H142" s="4"/>
      <c r="I142" s="4"/>
    </row>
    <row r="143" ht="15.75" customHeight="1">
      <c r="B143" s="4"/>
      <c r="C143" s="4"/>
      <c r="D143" s="4"/>
      <c r="E143" s="4"/>
      <c r="F143" s="4"/>
      <c r="H143" s="4"/>
      <c r="I143" s="4"/>
    </row>
    <row r="144" ht="15.75" customHeight="1">
      <c r="B144" s="4"/>
      <c r="C144" s="4"/>
      <c r="D144" s="4"/>
      <c r="E144" s="4"/>
      <c r="F144" s="4"/>
      <c r="H144" s="4"/>
      <c r="I144" s="4"/>
    </row>
    <row r="145" ht="15.75" customHeight="1">
      <c r="B145" s="4"/>
      <c r="C145" s="4"/>
      <c r="D145" s="4"/>
      <c r="E145" s="4"/>
      <c r="F145" s="4"/>
      <c r="H145" s="4"/>
      <c r="I145" s="4"/>
    </row>
    <row r="146" ht="15.75" customHeight="1">
      <c r="B146" s="4"/>
      <c r="C146" s="4"/>
      <c r="D146" s="4"/>
      <c r="E146" s="4"/>
      <c r="F146" s="4"/>
      <c r="H146" s="4"/>
      <c r="I146" s="4"/>
    </row>
    <row r="147" ht="15.75" customHeight="1">
      <c r="B147" s="4"/>
      <c r="C147" s="4"/>
      <c r="D147" s="4"/>
      <c r="E147" s="4"/>
      <c r="F147" s="4"/>
      <c r="H147" s="4"/>
      <c r="I147" s="4"/>
    </row>
    <row r="148" ht="15.75" customHeight="1">
      <c r="B148" s="4"/>
      <c r="C148" s="4"/>
      <c r="D148" s="4"/>
      <c r="E148" s="4"/>
      <c r="F148" s="4"/>
      <c r="H148" s="4"/>
      <c r="I148" s="4"/>
    </row>
    <row r="149" ht="15.75" customHeight="1">
      <c r="B149" s="4"/>
      <c r="C149" s="4"/>
      <c r="D149" s="4"/>
      <c r="E149" s="4"/>
      <c r="F149" s="4"/>
      <c r="H149" s="4"/>
      <c r="I149" s="4"/>
    </row>
    <row r="150" ht="15.75" customHeight="1">
      <c r="B150" s="4"/>
      <c r="C150" s="4"/>
      <c r="D150" s="4"/>
      <c r="E150" s="4"/>
      <c r="F150" s="4"/>
      <c r="H150" s="4"/>
      <c r="I150" s="4"/>
    </row>
    <row r="151" ht="15.75" customHeight="1">
      <c r="B151" s="4"/>
      <c r="C151" s="4"/>
      <c r="D151" s="4"/>
      <c r="E151" s="4"/>
      <c r="F151" s="4"/>
      <c r="H151" s="4"/>
      <c r="I151" s="4"/>
    </row>
    <row r="152" ht="15.75" customHeight="1">
      <c r="B152" s="4"/>
      <c r="C152" s="4"/>
      <c r="D152" s="4"/>
      <c r="E152" s="4"/>
      <c r="F152" s="4"/>
      <c r="H152" s="4"/>
      <c r="I152" s="4"/>
    </row>
    <row r="153" ht="15.75" customHeight="1">
      <c r="B153" s="4"/>
      <c r="C153" s="4"/>
      <c r="D153" s="4"/>
      <c r="E153" s="4"/>
      <c r="F153" s="4"/>
      <c r="H153" s="4"/>
      <c r="I153" s="4"/>
    </row>
    <row r="154" ht="15.75" customHeight="1">
      <c r="B154" s="4"/>
      <c r="C154" s="4"/>
      <c r="D154" s="4"/>
      <c r="E154" s="4"/>
      <c r="F154" s="4"/>
      <c r="H154" s="4"/>
      <c r="I154" s="4"/>
    </row>
    <row r="155" ht="15.75" customHeight="1">
      <c r="B155" s="4"/>
      <c r="C155" s="4"/>
      <c r="D155" s="4"/>
      <c r="E155" s="4"/>
      <c r="F155" s="4"/>
      <c r="H155" s="4"/>
      <c r="I155" s="4"/>
    </row>
    <row r="156" ht="15.75" customHeight="1">
      <c r="B156" s="4"/>
      <c r="C156" s="4"/>
      <c r="D156" s="4"/>
      <c r="E156" s="4"/>
      <c r="F156" s="4"/>
      <c r="H156" s="4"/>
      <c r="I156" s="4"/>
    </row>
    <row r="157" ht="15.75" customHeight="1">
      <c r="B157" s="4"/>
      <c r="C157" s="4"/>
      <c r="D157" s="4"/>
      <c r="E157" s="4"/>
      <c r="F157" s="4"/>
      <c r="H157" s="4"/>
      <c r="I157" s="4"/>
    </row>
    <row r="158" ht="15.75" customHeight="1">
      <c r="B158" s="4"/>
      <c r="C158" s="4"/>
      <c r="D158" s="4"/>
      <c r="E158" s="4"/>
      <c r="F158" s="4"/>
      <c r="H158" s="4"/>
      <c r="I158" s="4"/>
    </row>
    <row r="159" ht="15.75" customHeight="1">
      <c r="B159" s="4"/>
      <c r="C159" s="4"/>
      <c r="D159" s="4"/>
      <c r="E159" s="4"/>
      <c r="F159" s="4"/>
      <c r="H159" s="4"/>
      <c r="I159" s="4"/>
    </row>
    <row r="160" ht="15.75" customHeight="1">
      <c r="B160" s="4"/>
      <c r="C160" s="4"/>
      <c r="D160" s="4"/>
      <c r="E160" s="4"/>
      <c r="F160" s="4"/>
      <c r="H160" s="4"/>
      <c r="I160" s="4"/>
    </row>
    <row r="161" ht="15.75" customHeight="1">
      <c r="B161" s="4"/>
      <c r="C161" s="4"/>
      <c r="D161" s="4"/>
      <c r="E161" s="4"/>
      <c r="F161" s="4"/>
      <c r="H161" s="4"/>
      <c r="I161" s="4"/>
    </row>
    <row r="162" ht="15.75" customHeight="1">
      <c r="B162" s="4"/>
      <c r="C162" s="4"/>
      <c r="D162" s="4"/>
      <c r="E162" s="4"/>
      <c r="F162" s="4"/>
      <c r="H162" s="4"/>
      <c r="I162" s="4"/>
    </row>
    <row r="163" ht="15.75" customHeight="1">
      <c r="B163" s="4"/>
      <c r="C163" s="4"/>
      <c r="D163" s="4"/>
      <c r="E163" s="4"/>
      <c r="F163" s="4"/>
      <c r="H163" s="4"/>
      <c r="I163" s="4"/>
    </row>
    <row r="164" ht="15.75" customHeight="1">
      <c r="B164" s="4"/>
      <c r="C164" s="4"/>
      <c r="D164" s="4"/>
      <c r="E164" s="4"/>
      <c r="F164" s="4"/>
      <c r="H164" s="4"/>
      <c r="I164" s="4"/>
    </row>
    <row r="165" ht="15.75" customHeight="1">
      <c r="B165" s="4"/>
      <c r="C165" s="4"/>
      <c r="D165" s="4"/>
      <c r="E165" s="4"/>
      <c r="F165" s="4"/>
      <c r="H165" s="4"/>
      <c r="I165" s="4"/>
    </row>
    <row r="166" ht="15.75" customHeight="1">
      <c r="B166" s="4"/>
      <c r="C166" s="4"/>
      <c r="D166" s="4"/>
      <c r="E166" s="4"/>
      <c r="F166" s="4"/>
      <c r="H166" s="4"/>
      <c r="I166" s="4"/>
    </row>
    <row r="167" ht="15.75" customHeight="1">
      <c r="B167" s="4"/>
      <c r="C167" s="4"/>
      <c r="D167" s="4"/>
      <c r="E167" s="4"/>
      <c r="F167" s="4"/>
      <c r="H167" s="4"/>
      <c r="I167" s="4"/>
    </row>
    <row r="168" ht="15.75" customHeight="1">
      <c r="B168" s="4"/>
      <c r="C168" s="4"/>
      <c r="D168" s="4"/>
      <c r="E168" s="4"/>
      <c r="F168" s="4"/>
      <c r="H168" s="4"/>
      <c r="I168" s="4"/>
    </row>
    <row r="169" ht="15.75" customHeight="1">
      <c r="B169" s="4"/>
      <c r="C169" s="4"/>
      <c r="D169" s="4"/>
      <c r="E169" s="4"/>
      <c r="F169" s="4"/>
      <c r="H169" s="4"/>
      <c r="I169" s="4"/>
    </row>
    <row r="170" ht="15.75" customHeight="1">
      <c r="B170" s="4"/>
      <c r="C170" s="4"/>
      <c r="D170" s="4"/>
      <c r="E170" s="4"/>
      <c r="F170" s="4"/>
      <c r="H170" s="4"/>
      <c r="I170" s="4"/>
    </row>
    <row r="171" ht="15.75" customHeight="1">
      <c r="B171" s="4"/>
      <c r="C171" s="4"/>
      <c r="D171" s="4"/>
      <c r="E171" s="4"/>
      <c r="F171" s="4"/>
      <c r="H171" s="4"/>
      <c r="I171" s="4"/>
    </row>
    <row r="172" ht="15.75" customHeight="1">
      <c r="B172" s="4"/>
      <c r="C172" s="4"/>
      <c r="D172" s="4"/>
      <c r="E172" s="4"/>
      <c r="F172" s="4"/>
      <c r="H172" s="4"/>
      <c r="I172" s="4"/>
    </row>
    <row r="173" ht="15.75" customHeight="1">
      <c r="B173" s="4"/>
      <c r="C173" s="4"/>
      <c r="D173" s="4"/>
      <c r="E173" s="4"/>
      <c r="F173" s="4"/>
      <c r="H173" s="4"/>
      <c r="I173" s="4"/>
    </row>
    <row r="174" ht="15.75" customHeight="1">
      <c r="B174" s="4"/>
      <c r="C174" s="4"/>
      <c r="D174" s="4"/>
      <c r="E174" s="4"/>
      <c r="F174" s="4"/>
      <c r="H174" s="4"/>
      <c r="I174" s="4"/>
    </row>
    <row r="175" ht="15.75" customHeight="1">
      <c r="B175" s="4"/>
      <c r="C175" s="4"/>
      <c r="D175" s="4"/>
      <c r="E175" s="4"/>
      <c r="F175" s="4"/>
      <c r="H175" s="4"/>
      <c r="I175" s="4"/>
    </row>
    <row r="176" ht="15.75" customHeight="1">
      <c r="B176" s="4"/>
      <c r="C176" s="4"/>
      <c r="D176" s="4"/>
      <c r="E176" s="4"/>
      <c r="F176" s="4"/>
      <c r="H176" s="4"/>
      <c r="I176" s="4"/>
    </row>
    <row r="177" ht="15.75" customHeight="1">
      <c r="B177" s="4"/>
      <c r="C177" s="4"/>
      <c r="D177" s="4"/>
      <c r="E177" s="4"/>
      <c r="F177" s="4"/>
      <c r="H177" s="4"/>
      <c r="I177" s="4"/>
    </row>
    <row r="178" ht="15.75" customHeight="1">
      <c r="B178" s="4"/>
      <c r="C178" s="4"/>
      <c r="D178" s="4"/>
      <c r="E178" s="4"/>
      <c r="F178" s="4"/>
      <c r="H178" s="4"/>
      <c r="I178" s="4"/>
    </row>
    <row r="179" ht="15.75" customHeight="1">
      <c r="B179" s="4"/>
      <c r="C179" s="4"/>
      <c r="D179" s="4"/>
      <c r="E179" s="4"/>
      <c r="F179" s="4"/>
      <c r="H179" s="4"/>
      <c r="I179" s="4"/>
    </row>
    <row r="180" ht="15.75" customHeight="1">
      <c r="B180" s="4"/>
      <c r="C180" s="4"/>
      <c r="D180" s="4"/>
      <c r="E180" s="4"/>
      <c r="F180" s="4"/>
      <c r="H180" s="4"/>
      <c r="I180" s="4"/>
    </row>
    <row r="181" ht="15.75" customHeight="1">
      <c r="B181" s="4"/>
      <c r="C181" s="4"/>
      <c r="D181" s="4"/>
      <c r="E181" s="4"/>
      <c r="F181" s="4"/>
      <c r="H181" s="4"/>
      <c r="I181" s="4"/>
    </row>
    <row r="182" ht="15.75" customHeight="1">
      <c r="B182" s="4"/>
      <c r="C182" s="4"/>
      <c r="D182" s="4"/>
      <c r="E182" s="4"/>
      <c r="F182" s="4"/>
      <c r="H182" s="4"/>
      <c r="I182" s="4"/>
    </row>
    <row r="183" ht="15.75" customHeight="1">
      <c r="B183" s="4"/>
      <c r="C183" s="4"/>
      <c r="D183" s="4"/>
      <c r="E183" s="4"/>
      <c r="F183" s="4"/>
      <c r="H183" s="4"/>
      <c r="I183" s="4"/>
    </row>
    <row r="184" ht="15.75" customHeight="1">
      <c r="B184" s="4"/>
      <c r="C184" s="4"/>
      <c r="D184" s="4"/>
      <c r="E184" s="4"/>
      <c r="F184" s="4"/>
      <c r="H184" s="4"/>
      <c r="I184" s="4"/>
    </row>
    <row r="185" ht="15.75" customHeight="1">
      <c r="B185" s="4"/>
      <c r="C185" s="4"/>
      <c r="D185" s="4"/>
      <c r="E185" s="4"/>
      <c r="F185" s="4"/>
      <c r="H185" s="4"/>
      <c r="I185" s="4"/>
    </row>
    <row r="186" ht="15.75" customHeight="1">
      <c r="B186" s="4"/>
      <c r="C186" s="4"/>
      <c r="D186" s="4"/>
      <c r="E186" s="4"/>
      <c r="F186" s="4"/>
      <c r="H186" s="4"/>
      <c r="I186" s="4"/>
    </row>
    <row r="187" ht="15.75" customHeight="1">
      <c r="B187" s="4"/>
      <c r="C187" s="4"/>
      <c r="D187" s="4"/>
      <c r="E187" s="4"/>
      <c r="F187" s="4"/>
      <c r="H187" s="4"/>
      <c r="I187" s="4"/>
    </row>
    <row r="188" ht="15.75" customHeight="1">
      <c r="B188" s="4"/>
      <c r="C188" s="4"/>
      <c r="D188" s="4"/>
      <c r="E188" s="4"/>
      <c r="F188" s="4"/>
      <c r="H188" s="4"/>
      <c r="I188" s="4"/>
    </row>
    <row r="189" ht="15.75" customHeight="1">
      <c r="B189" s="4"/>
      <c r="C189" s="4"/>
      <c r="D189" s="4"/>
      <c r="E189" s="4"/>
      <c r="F189" s="4"/>
      <c r="H189" s="4"/>
      <c r="I189" s="4"/>
    </row>
    <row r="190" ht="15.75" customHeight="1">
      <c r="B190" s="4"/>
      <c r="C190" s="4"/>
      <c r="D190" s="4"/>
      <c r="E190" s="4"/>
      <c r="F190" s="4"/>
      <c r="H190" s="4"/>
      <c r="I190" s="4"/>
    </row>
    <row r="191" ht="15.75" customHeight="1">
      <c r="B191" s="4"/>
      <c r="C191" s="4"/>
      <c r="D191" s="4"/>
      <c r="E191" s="4"/>
      <c r="F191" s="4"/>
      <c r="H191" s="4"/>
      <c r="I191" s="4"/>
    </row>
    <row r="192" ht="15.75" customHeight="1">
      <c r="B192" s="4"/>
      <c r="C192" s="4"/>
      <c r="D192" s="4"/>
      <c r="E192" s="4"/>
      <c r="F192" s="4"/>
      <c r="H192" s="4"/>
      <c r="I192" s="4"/>
    </row>
    <row r="193" ht="15.75" customHeight="1">
      <c r="B193" s="4"/>
      <c r="C193" s="4"/>
      <c r="D193" s="4"/>
      <c r="E193" s="4"/>
      <c r="F193" s="4"/>
      <c r="H193" s="4"/>
      <c r="I193" s="4"/>
    </row>
    <row r="194" ht="15.75" customHeight="1">
      <c r="B194" s="4"/>
      <c r="C194" s="4"/>
      <c r="D194" s="4"/>
      <c r="E194" s="4"/>
      <c r="F194" s="4"/>
      <c r="H194" s="4"/>
      <c r="I194" s="4"/>
    </row>
    <row r="195" ht="15.75" customHeight="1">
      <c r="B195" s="4"/>
      <c r="C195" s="4"/>
      <c r="D195" s="4"/>
      <c r="E195" s="4"/>
      <c r="F195" s="4"/>
      <c r="H195" s="4"/>
      <c r="I195" s="4"/>
    </row>
    <row r="196" ht="15.75" customHeight="1">
      <c r="B196" s="4"/>
      <c r="C196" s="4"/>
      <c r="D196" s="4"/>
      <c r="E196" s="4"/>
      <c r="F196" s="4"/>
      <c r="H196" s="4"/>
      <c r="I196" s="4"/>
    </row>
    <row r="197" ht="15.75" customHeight="1">
      <c r="B197" s="4"/>
      <c r="C197" s="4"/>
      <c r="D197" s="4"/>
      <c r="E197" s="4"/>
      <c r="F197" s="4"/>
      <c r="H197" s="4"/>
      <c r="I197" s="4"/>
    </row>
    <row r="198" ht="15.75" customHeight="1">
      <c r="B198" s="4"/>
      <c r="C198" s="4"/>
      <c r="D198" s="4"/>
      <c r="E198" s="4"/>
      <c r="F198" s="4"/>
      <c r="H198" s="4"/>
      <c r="I198" s="4"/>
    </row>
    <row r="199" ht="15.75" customHeight="1">
      <c r="B199" s="4"/>
      <c r="C199" s="4"/>
      <c r="D199" s="4"/>
      <c r="E199" s="4"/>
      <c r="F199" s="4"/>
      <c r="H199" s="4"/>
      <c r="I199" s="4"/>
    </row>
    <row r="200" ht="15.75" customHeight="1">
      <c r="B200" s="4"/>
      <c r="C200" s="4"/>
      <c r="D200" s="4"/>
      <c r="E200" s="4"/>
      <c r="F200" s="4"/>
      <c r="H200" s="4"/>
      <c r="I200" s="4"/>
    </row>
    <row r="201" ht="15.75" customHeight="1">
      <c r="B201" s="4"/>
      <c r="C201" s="4"/>
      <c r="D201" s="4"/>
      <c r="E201" s="4"/>
      <c r="F201" s="4"/>
      <c r="H201" s="4"/>
      <c r="I201" s="4"/>
    </row>
    <row r="202" ht="15.75" customHeight="1">
      <c r="B202" s="4"/>
      <c r="C202" s="4"/>
      <c r="D202" s="4"/>
      <c r="E202" s="4"/>
      <c r="F202" s="4"/>
      <c r="H202" s="4"/>
      <c r="I202" s="4"/>
    </row>
    <row r="203" ht="15.75" customHeight="1">
      <c r="B203" s="4"/>
      <c r="C203" s="4"/>
      <c r="D203" s="4"/>
      <c r="E203" s="4"/>
      <c r="F203" s="4"/>
      <c r="H203" s="4"/>
      <c r="I203" s="4"/>
    </row>
    <row r="204" ht="15.75" customHeight="1">
      <c r="B204" s="4"/>
      <c r="C204" s="4"/>
      <c r="D204" s="4"/>
      <c r="E204" s="4"/>
      <c r="F204" s="4"/>
      <c r="H204" s="4"/>
      <c r="I204" s="4"/>
    </row>
    <row r="205" ht="15.75" customHeight="1">
      <c r="B205" s="4"/>
      <c r="C205" s="4"/>
      <c r="D205" s="4"/>
      <c r="E205" s="4"/>
      <c r="F205" s="4"/>
      <c r="H205" s="4"/>
      <c r="I205" s="4"/>
    </row>
    <row r="206" ht="15.75" customHeight="1">
      <c r="B206" s="4"/>
      <c r="C206" s="4"/>
      <c r="D206" s="4"/>
      <c r="E206" s="4"/>
      <c r="F206" s="4"/>
      <c r="H206" s="4"/>
      <c r="I206" s="4"/>
    </row>
    <row r="207" ht="15.75" customHeight="1">
      <c r="B207" s="4"/>
      <c r="C207" s="4"/>
      <c r="D207" s="4"/>
      <c r="E207" s="4"/>
      <c r="F207" s="4"/>
      <c r="H207" s="4"/>
      <c r="I207" s="4"/>
    </row>
    <row r="208" ht="15.75" customHeight="1">
      <c r="B208" s="4"/>
      <c r="C208" s="4"/>
      <c r="D208" s="4"/>
      <c r="E208" s="4"/>
      <c r="F208" s="4"/>
      <c r="H208" s="4"/>
      <c r="I208" s="4"/>
    </row>
    <row r="209" ht="15.75" customHeight="1">
      <c r="B209" s="4"/>
      <c r="C209" s="4"/>
      <c r="D209" s="4"/>
      <c r="E209" s="4"/>
      <c r="F209" s="4"/>
      <c r="H209" s="4"/>
      <c r="I209" s="4"/>
    </row>
    <row r="210" ht="15.75" customHeight="1">
      <c r="B210" s="4"/>
      <c r="C210" s="4"/>
      <c r="D210" s="4"/>
      <c r="E210" s="4"/>
      <c r="F210" s="4"/>
      <c r="H210" s="4"/>
      <c r="I210" s="4"/>
    </row>
    <row r="211" ht="15.75" customHeight="1">
      <c r="B211" s="4"/>
      <c r="C211" s="4"/>
      <c r="D211" s="4"/>
      <c r="E211" s="4"/>
      <c r="F211" s="4"/>
      <c r="H211" s="4"/>
      <c r="I211" s="4"/>
    </row>
    <row r="212" ht="15.75" customHeight="1">
      <c r="B212" s="4"/>
      <c r="C212" s="4"/>
      <c r="D212" s="4"/>
      <c r="E212" s="4"/>
      <c r="F212" s="4"/>
      <c r="H212" s="4"/>
      <c r="I212" s="4"/>
    </row>
    <row r="213" ht="15.75" customHeight="1">
      <c r="B213" s="4"/>
      <c r="C213" s="4"/>
      <c r="D213" s="4"/>
      <c r="E213" s="4"/>
      <c r="F213" s="4"/>
      <c r="H213" s="4"/>
      <c r="I213" s="4"/>
    </row>
    <row r="214" ht="15.75" customHeight="1">
      <c r="B214" s="4"/>
      <c r="C214" s="4"/>
      <c r="D214" s="4"/>
      <c r="E214" s="4"/>
      <c r="F214" s="4"/>
      <c r="H214" s="4"/>
      <c r="I214" s="4"/>
    </row>
    <row r="215" ht="15.75" customHeight="1">
      <c r="B215" s="4"/>
      <c r="C215" s="4"/>
      <c r="D215" s="4"/>
      <c r="E215" s="4"/>
      <c r="F215" s="4"/>
      <c r="H215" s="4"/>
      <c r="I215" s="4"/>
    </row>
    <row r="216" ht="15.75" customHeight="1">
      <c r="B216" s="4"/>
      <c r="C216" s="4"/>
      <c r="D216" s="4"/>
      <c r="E216" s="4"/>
      <c r="F216" s="4"/>
      <c r="H216" s="4"/>
      <c r="I216" s="4"/>
    </row>
    <row r="217" ht="15.75" customHeight="1">
      <c r="B217" s="4"/>
      <c r="C217" s="4"/>
      <c r="D217" s="4"/>
      <c r="E217" s="4"/>
      <c r="F217" s="4"/>
      <c r="H217" s="4"/>
      <c r="I217" s="4"/>
    </row>
    <row r="218" ht="15.75" customHeight="1">
      <c r="B218" s="4"/>
      <c r="C218" s="4"/>
      <c r="D218" s="4"/>
      <c r="E218" s="4"/>
      <c r="F218" s="4"/>
      <c r="H218" s="4"/>
      <c r="I218" s="4"/>
    </row>
    <row r="219" ht="15.75" customHeight="1">
      <c r="B219" s="4"/>
      <c r="C219" s="4"/>
      <c r="D219" s="4"/>
      <c r="E219" s="4"/>
      <c r="F219" s="4"/>
      <c r="H219" s="4"/>
      <c r="I219" s="4"/>
    </row>
    <row r="220" ht="15.75" customHeight="1">
      <c r="B220" s="4"/>
      <c r="C220" s="4"/>
      <c r="D220" s="4"/>
      <c r="E220" s="4"/>
      <c r="F220" s="4"/>
      <c r="H220" s="4"/>
      <c r="I220" s="4"/>
    </row>
    <row r="221" ht="15.75" customHeight="1">
      <c r="B221" s="4"/>
      <c r="C221" s="4"/>
      <c r="D221" s="4"/>
      <c r="E221" s="4"/>
      <c r="F221" s="4"/>
      <c r="H221" s="4"/>
      <c r="I221" s="4"/>
    </row>
    <row r="222" ht="15.75" customHeight="1">
      <c r="B222" s="4"/>
      <c r="C222" s="4"/>
      <c r="D222" s="4"/>
      <c r="E222" s="4"/>
      <c r="F222" s="4"/>
      <c r="H222" s="4"/>
      <c r="I222" s="4"/>
    </row>
    <row r="223" ht="15.75" customHeight="1">
      <c r="B223" s="4"/>
      <c r="C223" s="4"/>
      <c r="D223" s="4"/>
      <c r="E223" s="4"/>
      <c r="F223" s="4"/>
      <c r="H223" s="4"/>
      <c r="I223" s="4"/>
    </row>
    <row r="224" ht="15.75" customHeight="1">
      <c r="B224" s="4"/>
      <c r="C224" s="4"/>
      <c r="D224" s="4"/>
      <c r="E224" s="4"/>
      <c r="F224" s="4"/>
      <c r="H224" s="4"/>
      <c r="I224" s="4"/>
    </row>
    <row r="225" ht="15.75" customHeight="1">
      <c r="B225" s="4"/>
      <c r="C225" s="4"/>
      <c r="D225" s="4"/>
      <c r="E225" s="4"/>
      <c r="F225" s="4"/>
      <c r="H225" s="4"/>
      <c r="I225" s="4"/>
    </row>
    <row r="226" ht="15.75" customHeight="1">
      <c r="B226" s="4"/>
      <c r="C226" s="4"/>
      <c r="D226" s="4"/>
      <c r="E226" s="4"/>
      <c r="F226" s="4"/>
      <c r="H226" s="4"/>
      <c r="I226" s="4"/>
    </row>
    <row r="227" ht="15.75" customHeight="1">
      <c r="B227" s="4"/>
      <c r="C227" s="4"/>
      <c r="D227" s="4"/>
      <c r="E227" s="4"/>
      <c r="F227" s="4"/>
      <c r="H227" s="4"/>
      <c r="I227" s="4"/>
    </row>
    <row r="228" ht="15.75" customHeight="1">
      <c r="B228" s="4"/>
      <c r="C228" s="4"/>
      <c r="D228" s="4"/>
      <c r="E228" s="4"/>
      <c r="F228" s="4"/>
      <c r="H228" s="4"/>
      <c r="I228" s="4"/>
    </row>
    <row r="229" ht="15.75" customHeight="1">
      <c r="B229" s="4"/>
      <c r="C229" s="4"/>
      <c r="D229" s="4"/>
      <c r="E229" s="4"/>
      <c r="F229" s="4"/>
      <c r="H229" s="4"/>
      <c r="I229" s="4"/>
    </row>
    <row r="230" ht="15.75" customHeight="1">
      <c r="B230" s="4"/>
      <c r="C230" s="4"/>
      <c r="D230" s="4"/>
      <c r="E230" s="4"/>
      <c r="F230" s="4"/>
      <c r="H230" s="4"/>
      <c r="I230" s="4"/>
    </row>
    <row r="231" ht="15.75" customHeight="1">
      <c r="B231" s="4"/>
      <c r="C231" s="4"/>
      <c r="D231" s="4"/>
      <c r="E231" s="4"/>
      <c r="F231" s="4"/>
      <c r="H231" s="4"/>
      <c r="I231" s="4"/>
    </row>
    <row r="232" ht="15.75" customHeight="1">
      <c r="B232" s="4"/>
      <c r="C232" s="4"/>
      <c r="D232" s="4"/>
      <c r="E232" s="4"/>
      <c r="F232" s="4"/>
      <c r="H232" s="4"/>
      <c r="I232" s="4"/>
    </row>
    <row r="233" ht="15.75" customHeight="1">
      <c r="B233" s="4"/>
      <c r="C233" s="4"/>
      <c r="D233" s="4"/>
      <c r="E233" s="4"/>
      <c r="F233" s="4"/>
      <c r="H233" s="4"/>
      <c r="I233" s="4"/>
    </row>
    <row r="234" ht="15.75" customHeight="1">
      <c r="B234" s="4"/>
      <c r="C234" s="4"/>
      <c r="D234" s="4"/>
      <c r="E234" s="4"/>
      <c r="F234" s="4"/>
      <c r="H234" s="4"/>
      <c r="I234" s="4"/>
    </row>
    <row r="235" ht="15.75" customHeight="1">
      <c r="B235" s="4"/>
      <c r="C235" s="4"/>
      <c r="D235" s="4"/>
      <c r="E235" s="4"/>
      <c r="F235" s="4"/>
      <c r="H235" s="4"/>
      <c r="I235" s="4"/>
    </row>
    <row r="236" ht="15.75" customHeight="1">
      <c r="B236" s="4"/>
      <c r="C236" s="4"/>
      <c r="D236" s="4"/>
      <c r="E236" s="4"/>
      <c r="F236" s="4"/>
      <c r="H236" s="4"/>
      <c r="I236" s="4"/>
    </row>
    <row r="237" ht="15.75" customHeight="1">
      <c r="B237" s="4"/>
      <c r="C237" s="4"/>
      <c r="D237" s="4"/>
      <c r="E237" s="4"/>
      <c r="F237" s="4"/>
      <c r="H237" s="4"/>
      <c r="I237" s="4"/>
    </row>
    <row r="238" ht="15.75" customHeight="1">
      <c r="B238" s="4"/>
      <c r="C238" s="4"/>
      <c r="D238" s="4"/>
      <c r="E238" s="4"/>
      <c r="F238" s="4"/>
      <c r="H238" s="4"/>
      <c r="I238" s="4"/>
    </row>
    <row r="239" ht="15.75" customHeight="1">
      <c r="B239" s="4"/>
      <c r="C239" s="4"/>
      <c r="D239" s="4"/>
      <c r="E239" s="4"/>
      <c r="F239" s="4"/>
      <c r="H239" s="4"/>
      <c r="I239" s="4"/>
    </row>
    <row r="240" ht="15.75" customHeight="1">
      <c r="B240" s="4"/>
      <c r="C240" s="4"/>
      <c r="D240" s="4"/>
      <c r="E240" s="4"/>
      <c r="F240" s="4"/>
      <c r="H240" s="4"/>
      <c r="I240" s="4"/>
    </row>
    <row r="241" ht="15.75" customHeight="1">
      <c r="B241" s="4"/>
      <c r="C241" s="4"/>
      <c r="D241" s="4"/>
      <c r="E241" s="4"/>
      <c r="F241" s="4"/>
      <c r="H241" s="4"/>
      <c r="I241" s="4"/>
    </row>
    <row r="242" ht="15.75" customHeight="1">
      <c r="B242" s="4"/>
      <c r="C242" s="4"/>
      <c r="D242" s="4"/>
      <c r="E242" s="4"/>
      <c r="F242" s="4"/>
      <c r="H242" s="4"/>
      <c r="I242" s="4"/>
    </row>
    <row r="243" ht="15.75" customHeight="1">
      <c r="B243" s="4"/>
      <c r="C243" s="4"/>
      <c r="D243" s="4"/>
      <c r="E243" s="4"/>
      <c r="F243" s="4"/>
      <c r="H243" s="4"/>
      <c r="I243" s="4"/>
    </row>
    <row r="244" ht="15.75" customHeight="1">
      <c r="B244" s="4"/>
      <c r="C244" s="4"/>
      <c r="D244" s="4"/>
      <c r="E244" s="4"/>
      <c r="F244" s="4"/>
      <c r="H244" s="4"/>
      <c r="I244" s="4"/>
    </row>
    <row r="245" ht="15.75" customHeight="1">
      <c r="B245" s="4"/>
      <c r="C245" s="4"/>
      <c r="D245" s="4"/>
      <c r="E245" s="4"/>
      <c r="F245" s="4"/>
      <c r="H245" s="4"/>
      <c r="I245" s="4"/>
    </row>
    <row r="246" ht="15.75" customHeight="1">
      <c r="B246" s="4"/>
      <c r="C246" s="4"/>
      <c r="D246" s="4"/>
      <c r="E246" s="4"/>
      <c r="F246" s="4"/>
      <c r="H246" s="4"/>
      <c r="I246" s="4"/>
    </row>
    <row r="247" ht="15.75" customHeight="1">
      <c r="B247" s="4"/>
      <c r="C247" s="4"/>
      <c r="D247" s="4"/>
      <c r="E247" s="4"/>
      <c r="F247" s="4"/>
      <c r="H247" s="4"/>
      <c r="I247" s="4"/>
    </row>
    <row r="248" ht="15.75" customHeight="1">
      <c r="B248" s="4"/>
      <c r="C248" s="4"/>
      <c r="D248" s="4"/>
      <c r="E248" s="4"/>
      <c r="F248" s="4"/>
      <c r="H248" s="4"/>
      <c r="I248" s="4"/>
    </row>
    <row r="249" ht="15.75" customHeight="1">
      <c r="B249" s="4"/>
      <c r="C249" s="4"/>
      <c r="D249" s="4"/>
      <c r="E249" s="4"/>
      <c r="F249" s="4"/>
      <c r="H249" s="4"/>
      <c r="I249" s="4"/>
    </row>
    <row r="250" ht="15.75" customHeight="1">
      <c r="B250" s="4"/>
      <c r="C250" s="4"/>
      <c r="D250" s="4"/>
      <c r="E250" s="4"/>
      <c r="F250" s="4"/>
      <c r="H250" s="4"/>
      <c r="I250" s="4"/>
    </row>
    <row r="251" ht="15.75" customHeight="1">
      <c r="B251" s="4"/>
      <c r="C251" s="4"/>
      <c r="D251" s="4"/>
      <c r="E251" s="4"/>
      <c r="F251" s="4"/>
      <c r="H251" s="4"/>
      <c r="I251" s="4"/>
    </row>
    <row r="252" ht="15.75" customHeight="1">
      <c r="B252" s="4"/>
      <c r="C252" s="4"/>
      <c r="D252" s="4"/>
      <c r="E252" s="4"/>
      <c r="F252" s="4"/>
      <c r="H252" s="4"/>
      <c r="I252" s="4"/>
    </row>
    <row r="253" ht="15.75" customHeight="1">
      <c r="B253" s="4"/>
      <c r="C253" s="4"/>
      <c r="D253" s="4"/>
      <c r="E253" s="4"/>
      <c r="F253" s="4"/>
      <c r="H253" s="4"/>
      <c r="I253" s="4"/>
    </row>
    <row r="254" ht="15.75" customHeight="1">
      <c r="B254" s="4"/>
      <c r="C254" s="4"/>
      <c r="D254" s="4"/>
      <c r="E254" s="4"/>
      <c r="F254" s="4"/>
      <c r="H254" s="4"/>
      <c r="I254" s="4"/>
    </row>
    <row r="255" ht="15.75" customHeight="1">
      <c r="B255" s="4"/>
      <c r="C255" s="4"/>
      <c r="D255" s="4"/>
      <c r="E255" s="4"/>
      <c r="F255" s="4"/>
      <c r="H255" s="4"/>
      <c r="I255" s="4"/>
    </row>
    <row r="256" ht="15.75" customHeight="1">
      <c r="B256" s="4"/>
      <c r="C256" s="4"/>
      <c r="D256" s="4"/>
      <c r="E256" s="4"/>
      <c r="F256" s="4"/>
      <c r="H256" s="4"/>
      <c r="I256" s="4"/>
    </row>
    <row r="257" ht="15.75" customHeight="1">
      <c r="B257" s="4"/>
      <c r="C257" s="4"/>
      <c r="D257" s="4"/>
      <c r="E257" s="4"/>
      <c r="F257" s="4"/>
      <c r="H257" s="4"/>
      <c r="I257" s="4"/>
    </row>
    <row r="258" ht="15.75" customHeight="1">
      <c r="B258" s="4"/>
      <c r="C258" s="4"/>
      <c r="D258" s="4"/>
      <c r="E258" s="4"/>
      <c r="F258" s="4"/>
      <c r="H258" s="4"/>
      <c r="I258" s="4"/>
    </row>
    <row r="259" ht="15.75" customHeight="1">
      <c r="B259" s="4"/>
      <c r="C259" s="4"/>
      <c r="D259" s="4"/>
      <c r="E259" s="4"/>
      <c r="F259" s="4"/>
      <c r="H259" s="4"/>
      <c r="I259" s="4"/>
    </row>
    <row r="260" ht="15.75" customHeight="1">
      <c r="B260" s="4"/>
      <c r="C260" s="4"/>
      <c r="D260" s="4"/>
      <c r="E260" s="4"/>
      <c r="F260" s="4"/>
      <c r="H260" s="4"/>
      <c r="I260" s="4"/>
    </row>
    <row r="261" ht="15.75" customHeight="1">
      <c r="B261" s="4"/>
      <c r="C261" s="4"/>
      <c r="D261" s="4"/>
      <c r="E261" s="4"/>
      <c r="F261" s="4"/>
      <c r="H261" s="4"/>
      <c r="I261" s="4"/>
    </row>
    <row r="262" ht="15.75" customHeight="1">
      <c r="B262" s="4"/>
      <c r="C262" s="4"/>
      <c r="D262" s="4"/>
      <c r="E262" s="4"/>
      <c r="F262" s="4"/>
      <c r="H262" s="4"/>
      <c r="I262" s="4"/>
    </row>
    <row r="263" ht="15.75" customHeight="1">
      <c r="B263" s="4"/>
      <c r="C263" s="4"/>
      <c r="D263" s="4"/>
      <c r="E263" s="4"/>
      <c r="F263" s="4"/>
      <c r="H263" s="4"/>
      <c r="I263" s="4"/>
    </row>
    <row r="264" ht="15.75" customHeight="1">
      <c r="B264" s="4"/>
      <c r="C264" s="4"/>
      <c r="D264" s="4"/>
      <c r="E264" s="4"/>
      <c r="F264" s="4"/>
      <c r="H264" s="4"/>
      <c r="I264" s="4"/>
    </row>
    <row r="265" ht="15.75" customHeight="1">
      <c r="B265" s="4"/>
      <c r="C265" s="4"/>
      <c r="D265" s="4"/>
      <c r="E265" s="4"/>
      <c r="F265" s="4"/>
      <c r="H265" s="4"/>
      <c r="I265" s="4"/>
    </row>
    <row r="266" ht="15.75" customHeight="1">
      <c r="B266" s="4"/>
      <c r="C266" s="4"/>
      <c r="D266" s="4"/>
      <c r="E266" s="4"/>
      <c r="F266" s="4"/>
      <c r="H266" s="4"/>
      <c r="I266" s="4"/>
    </row>
    <row r="267" ht="15.75" customHeight="1">
      <c r="B267" s="4"/>
      <c r="C267" s="4"/>
      <c r="D267" s="4"/>
      <c r="E267" s="4"/>
      <c r="F267" s="4"/>
      <c r="H267" s="4"/>
      <c r="I267" s="4"/>
    </row>
    <row r="268" ht="15.75" customHeight="1">
      <c r="B268" s="4"/>
      <c r="C268" s="4"/>
      <c r="D268" s="4"/>
      <c r="E268" s="4"/>
      <c r="F268" s="4"/>
      <c r="H268" s="4"/>
      <c r="I268" s="4"/>
    </row>
    <row r="269" ht="15.75" customHeight="1">
      <c r="B269" s="4"/>
      <c r="C269" s="4"/>
      <c r="D269" s="4"/>
      <c r="E269" s="4"/>
      <c r="F269" s="4"/>
      <c r="H269" s="4"/>
      <c r="I269" s="4"/>
    </row>
    <row r="270" ht="15.75" customHeight="1">
      <c r="B270" s="4"/>
      <c r="C270" s="4"/>
      <c r="D270" s="4"/>
      <c r="E270" s="4"/>
      <c r="F270" s="4"/>
      <c r="H270" s="4"/>
      <c r="I270" s="4"/>
    </row>
    <row r="271" ht="15.75" customHeight="1">
      <c r="B271" s="4"/>
      <c r="C271" s="4"/>
      <c r="D271" s="4"/>
      <c r="E271" s="4"/>
      <c r="F271" s="4"/>
      <c r="H271" s="4"/>
      <c r="I271" s="4"/>
    </row>
    <row r="272" ht="15.75" customHeight="1">
      <c r="B272" s="4"/>
      <c r="C272" s="4"/>
      <c r="D272" s="4"/>
      <c r="E272" s="4"/>
      <c r="F272" s="4"/>
      <c r="H272" s="4"/>
      <c r="I272" s="4"/>
    </row>
    <row r="273" ht="15.75" customHeight="1">
      <c r="B273" s="4"/>
      <c r="C273" s="4"/>
      <c r="D273" s="4"/>
      <c r="E273" s="4"/>
      <c r="F273" s="4"/>
      <c r="H273" s="4"/>
      <c r="I273" s="4"/>
    </row>
    <row r="274" ht="15.75" customHeight="1">
      <c r="B274" s="4"/>
      <c r="C274" s="4"/>
      <c r="D274" s="4"/>
      <c r="E274" s="4"/>
      <c r="F274" s="4"/>
      <c r="H274" s="4"/>
      <c r="I274" s="4"/>
    </row>
    <row r="275" ht="15.75" customHeight="1">
      <c r="B275" s="4"/>
      <c r="C275" s="4"/>
      <c r="D275" s="4"/>
      <c r="E275" s="4"/>
      <c r="F275" s="4"/>
      <c r="H275" s="4"/>
      <c r="I275" s="4"/>
    </row>
    <row r="276" ht="15.75" customHeight="1">
      <c r="B276" s="4"/>
      <c r="C276" s="4"/>
      <c r="D276" s="4"/>
      <c r="E276" s="4"/>
      <c r="F276" s="4"/>
      <c r="H276" s="4"/>
      <c r="I276" s="4"/>
    </row>
    <row r="277" ht="15.75" customHeight="1">
      <c r="B277" s="4"/>
      <c r="C277" s="4"/>
      <c r="D277" s="4"/>
      <c r="E277" s="4"/>
      <c r="F277" s="4"/>
      <c r="H277" s="4"/>
      <c r="I277" s="4"/>
    </row>
    <row r="278" ht="15.75" customHeight="1">
      <c r="B278" s="4"/>
      <c r="C278" s="4"/>
      <c r="D278" s="4"/>
      <c r="E278" s="4"/>
      <c r="F278" s="4"/>
      <c r="H278" s="4"/>
      <c r="I278" s="4"/>
    </row>
    <row r="279" ht="15.75" customHeight="1">
      <c r="B279" s="4"/>
      <c r="C279" s="4"/>
      <c r="D279" s="4"/>
      <c r="E279" s="4"/>
      <c r="F279" s="4"/>
      <c r="H279" s="4"/>
      <c r="I279" s="4"/>
    </row>
    <row r="280" ht="15.75" customHeight="1">
      <c r="B280" s="4"/>
      <c r="C280" s="4"/>
      <c r="D280" s="4"/>
      <c r="E280" s="4"/>
      <c r="F280" s="4"/>
      <c r="H280" s="4"/>
      <c r="I280" s="4"/>
    </row>
    <row r="281" ht="15.75" customHeight="1">
      <c r="B281" s="4"/>
      <c r="C281" s="4"/>
      <c r="D281" s="4"/>
      <c r="E281" s="4"/>
      <c r="F281" s="4"/>
      <c r="H281" s="4"/>
      <c r="I281" s="4"/>
    </row>
    <row r="282" ht="15.75" customHeight="1">
      <c r="B282" s="4"/>
      <c r="C282" s="4"/>
      <c r="D282" s="4"/>
      <c r="E282" s="4"/>
      <c r="F282" s="4"/>
      <c r="H282" s="4"/>
      <c r="I282" s="4"/>
    </row>
    <row r="283" ht="15.75" customHeight="1">
      <c r="B283" s="4"/>
      <c r="C283" s="4"/>
      <c r="D283" s="4"/>
      <c r="E283" s="4"/>
      <c r="F283" s="4"/>
      <c r="H283" s="4"/>
      <c r="I283" s="4"/>
    </row>
    <row r="284" ht="15.75" customHeight="1">
      <c r="B284" s="4"/>
      <c r="C284" s="4"/>
      <c r="D284" s="4"/>
      <c r="E284" s="4"/>
      <c r="F284" s="4"/>
      <c r="H284" s="4"/>
      <c r="I284" s="4"/>
    </row>
    <row r="285" ht="15.75" customHeight="1">
      <c r="B285" s="4"/>
      <c r="C285" s="4"/>
      <c r="D285" s="4"/>
      <c r="E285" s="4"/>
      <c r="F285" s="4"/>
      <c r="H285" s="4"/>
      <c r="I285" s="4"/>
    </row>
    <row r="286" ht="15.75" customHeight="1">
      <c r="B286" s="4"/>
      <c r="C286" s="4"/>
      <c r="D286" s="4"/>
      <c r="E286" s="4"/>
      <c r="F286" s="4"/>
      <c r="H286" s="4"/>
      <c r="I286" s="4"/>
    </row>
    <row r="287" ht="15.75" customHeight="1">
      <c r="B287" s="4"/>
      <c r="C287" s="4"/>
      <c r="D287" s="4"/>
      <c r="E287" s="4"/>
      <c r="F287" s="4"/>
      <c r="H287" s="4"/>
      <c r="I287" s="4"/>
    </row>
    <row r="288" ht="15.75" customHeight="1">
      <c r="B288" s="4"/>
      <c r="C288" s="4"/>
      <c r="D288" s="4"/>
      <c r="E288" s="4"/>
      <c r="F288" s="4"/>
      <c r="H288" s="4"/>
      <c r="I288" s="4"/>
    </row>
    <row r="289" ht="15.75" customHeight="1">
      <c r="B289" s="4"/>
      <c r="C289" s="4"/>
      <c r="D289" s="4"/>
      <c r="E289" s="4"/>
      <c r="F289" s="4"/>
      <c r="H289" s="4"/>
      <c r="I289" s="4"/>
    </row>
    <row r="290" ht="15.75" customHeight="1">
      <c r="B290" s="4"/>
      <c r="C290" s="4"/>
      <c r="D290" s="4"/>
      <c r="E290" s="4"/>
      <c r="F290" s="4"/>
      <c r="H290" s="4"/>
      <c r="I290" s="4"/>
    </row>
    <row r="291" ht="15.75" customHeight="1">
      <c r="B291" s="4"/>
      <c r="C291" s="4"/>
      <c r="D291" s="4"/>
      <c r="E291" s="4"/>
      <c r="F291" s="4"/>
      <c r="H291" s="4"/>
      <c r="I291" s="4"/>
    </row>
    <row r="292" ht="15.75" customHeight="1">
      <c r="B292" s="4"/>
      <c r="C292" s="4"/>
      <c r="D292" s="4"/>
      <c r="E292" s="4"/>
      <c r="F292" s="4"/>
      <c r="H292" s="4"/>
      <c r="I292" s="4"/>
    </row>
    <row r="293" ht="15.75" customHeight="1">
      <c r="B293" s="4"/>
      <c r="C293" s="4"/>
      <c r="D293" s="4"/>
      <c r="E293" s="4"/>
      <c r="F293" s="4"/>
      <c r="H293" s="4"/>
      <c r="I293" s="4"/>
    </row>
    <row r="294" ht="15.75" customHeight="1">
      <c r="B294" s="4"/>
      <c r="C294" s="4"/>
      <c r="D294" s="4"/>
      <c r="E294" s="4"/>
      <c r="F294" s="4"/>
      <c r="H294" s="4"/>
      <c r="I294" s="4"/>
    </row>
    <row r="295" ht="15.75" customHeight="1">
      <c r="B295" s="4"/>
      <c r="C295" s="4"/>
      <c r="D295" s="4"/>
      <c r="E295" s="4"/>
      <c r="F295" s="4"/>
      <c r="H295" s="4"/>
      <c r="I295" s="4"/>
    </row>
    <row r="296" ht="15.75" customHeight="1">
      <c r="B296" s="4"/>
      <c r="C296" s="4"/>
      <c r="D296" s="4"/>
      <c r="E296" s="4"/>
      <c r="F296" s="4"/>
      <c r="H296" s="4"/>
      <c r="I296" s="4"/>
    </row>
    <row r="297" ht="15.75" customHeight="1">
      <c r="B297" s="4"/>
      <c r="C297" s="4"/>
      <c r="D297" s="4"/>
      <c r="E297" s="4"/>
      <c r="F297" s="4"/>
      <c r="H297" s="4"/>
      <c r="I297" s="4"/>
    </row>
    <row r="298" ht="15.75" customHeight="1">
      <c r="B298" s="4"/>
      <c r="C298" s="4"/>
      <c r="D298" s="4"/>
      <c r="E298" s="4"/>
      <c r="F298" s="4"/>
      <c r="H298" s="4"/>
      <c r="I298" s="4"/>
    </row>
    <row r="299" ht="15.75" customHeight="1">
      <c r="B299" s="4"/>
      <c r="C299" s="4"/>
      <c r="D299" s="4"/>
      <c r="E299" s="4"/>
      <c r="F299" s="4"/>
      <c r="H299" s="4"/>
      <c r="I299" s="4"/>
    </row>
    <row r="300" ht="15.75" customHeight="1">
      <c r="B300" s="4"/>
      <c r="C300" s="4"/>
      <c r="D300" s="4"/>
      <c r="E300" s="4"/>
      <c r="F300" s="4"/>
      <c r="H300" s="4"/>
      <c r="I300" s="4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300">
      <formula1>"1,2"</formula1>
    </dataValidation>
    <dataValidation type="list" allowBlank="1" sqref="B2:B300">
      <formula1>"Group A,Group B,Semi Final 1,Semi Final 2,3rd Place Playoff,Final,Wooden Spoon"</formula1>
    </dataValidation>
    <dataValidation type="list" allowBlank="1" sqref="H2:H300">
      <formula1>"Scheduled,Live,Complete,Abandoned,Cancelled"</formula1>
    </dataValidation>
    <dataValidation type="list" allowBlank="1" sqref="C2:D300">
      <formula1>Teams!$A$2:$A$14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57"/>
    <col customWidth="1" min="3" max="3" width="24.0"/>
    <col customWidth="1" min="4" max="4" width="22.57"/>
    <col customWidth="1" min="5" max="5" width="16.0"/>
    <col customWidth="1" min="6" max="9" width="8.0"/>
    <col customWidth="1" min="10" max="10" width="10.0"/>
    <col customWidth="1" min="11" max="12" width="14.0"/>
    <col customWidth="1" min="13" max="13" width="8.71"/>
    <col customWidth="1" hidden="1" min="14" max="32" width="8.71"/>
    <col customWidth="1" min="33" max="41" width="8.71"/>
  </cols>
  <sheetData>
    <row r="1">
      <c r="A1" s="1" t="s">
        <v>1</v>
      </c>
      <c r="B1" s="5" t="s">
        <v>2</v>
      </c>
      <c r="C1" s="5" t="s">
        <v>31</v>
      </c>
      <c r="D1" s="5" t="s">
        <v>32</v>
      </c>
      <c r="E1" s="1" t="s">
        <v>35</v>
      </c>
      <c r="F1" s="1" t="s">
        <v>38</v>
      </c>
      <c r="G1" s="1" t="s">
        <v>40</v>
      </c>
      <c r="H1" s="1" t="s">
        <v>42</v>
      </c>
      <c r="I1" s="1" t="s">
        <v>45</v>
      </c>
      <c r="J1" s="1" t="s">
        <v>46</v>
      </c>
      <c r="K1" s="1" t="s">
        <v>34</v>
      </c>
      <c r="L1" s="1" t="s">
        <v>49</v>
      </c>
    </row>
    <row r="2">
      <c r="A2" s="6">
        <v>1.0</v>
      </c>
      <c r="B2" s="8">
        <v>2.0</v>
      </c>
      <c r="C2" s="4" t="str">
        <f t="array" ref="C2">iferror(INDEX(Fixtures_Results!$E$2:$F$12,MATCH($A2,Fixtures_Results!$A$2:$A$12,0),MATCH("BatTeam"&amp;$B2,Fixtures_Results!$E$1:$F$1,0)),"")</f>
        <v>Take Em Deep</v>
      </c>
      <c r="D2" s="4" t="str">
        <f t="array" ref="D2">iferror(INDEX(Fixtures_Results!$E$2:$F$12,MATCH($A2,Fixtures_Results!$A$2:$A$12,0),MATCH("BatTeam"&amp;2*1/$B2,Fixtures_Results!$E$1:$F$1,0)),"")</f>
        <v>Crabtree CC</v>
      </c>
      <c r="E2" s="8" t="s">
        <v>80</v>
      </c>
      <c r="F2" s="6">
        <v>24.0</v>
      </c>
      <c r="G2" s="6">
        <v>15.0</v>
      </c>
      <c r="H2" s="6">
        <v>3.0</v>
      </c>
      <c r="I2" s="6">
        <v>1.0</v>
      </c>
      <c r="J2" s="6" t="s">
        <v>100</v>
      </c>
      <c r="K2" s="11"/>
      <c r="L2" s="11"/>
      <c r="N2" s="4" t="str">
        <f t="array" ref="N2:W2">iferror(transpose(INDIRECT(SUBSTITUTE($C2," ","_"))),"")</f>
        <v>Deep</v>
      </c>
      <c r="O2" s="12" t="s">
        <v>80</v>
      </c>
      <c r="P2" s="12" t="s">
        <v>81</v>
      </c>
      <c r="Q2" s="12" t="s">
        <v>82</v>
      </c>
      <c r="R2" s="12" t="s">
        <v>83</v>
      </c>
      <c r="S2" s="12" t="s">
        <v>84</v>
      </c>
      <c r="T2" s="12" t="s">
        <v>85</v>
      </c>
      <c r="U2" s="12"/>
      <c r="V2" s="12"/>
      <c r="W2" s="12"/>
      <c r="Z2" s="4" t="str">
        <f t="array" ref="Z2:AI2">iferror(transpose(INDIRECT(SUBSTITUTE($D2," ","_"))),"")</f>
        <v>Suhas</v>
      </c>
      <c r="AA2" s="12" t="s">
        <v>62</v>
      </c>
      <c r="AB2" s="12" t="s">
        <v>63</v>
      </c>
      <c r="AC2" s="12" t="s">
        <v>64</v>
      </c>
      <c r="AD2" s="12" t="s">
        <v>65</v>
      </c>
      <c r="AE2" s="12" t="s">
        <v>66</v>
      </c>
      <c r="AF2" s="12" t="s">
        <v>67</v>
      </c>
      <c r="AG2" s="12"/>
      <c r="AH2" s="12"/>
      <c r="AI2" s="12"/>
    </row>
    <row r="3">
      <c r="A3" s="6">
        <v>1.0</v>
      </c>
      <c r="B3" s="8">
        <v>2.0</v>
      </c>
      <c r="C3" s="4" t="str">
        <f t="array" ref="C3">iferror(INDEX(Fixtures_Results!$E$2:$F$12,MATCH($A3,Fixtures_Results!$A$2:$A$12,0),MATCH("BatTeam"&amp;$B3,Fixtures_Results!$E$1:$F$1,0)),"")</f>
        <v>Take Em Deep</v>
      </c>
      <c r="D3" s="4" t="str">
        <f t="array" ref="D3">iferror(INDEX(Fixtures_Results!$E$2:$F$12,MATCH($A3,Fixtures_Results!$A$2:$A$12,0),MATCH("BatTeam"&amp;2*1/$B3,Fixtures_Results!$E$1:$F$1,0)),"")</f>
        <v>Crabtree CC</v>
      </c>
      <c r="E3" s="8" t="s">
        <v>83</v>
      </c>
      <c r="F3" s="6">
        <v>18.0</v>
      </c>
      <c r="G3" s="6">
        <v>12.0</v>
      </c>
      <c r="H3" s="6">
        <v>2.0</v>
      </c>
      <c r="I3" s="6">
        <v>0.0</v>
      </c>
      <c r="J3" s="6" t="s">
        <v>121</v>
      </c>
      <c r="K3" s="8" t="s">
        <v>64</v>
      </c>
      <c r="L3" s="8" t="s">
        <v>67</v>
      </c>
      <c r="N3" s="4" t="str">
        <f t="array" ref="N3:W3">iferror(transpose(INDIRECT(SUBSTITUTE($C3," ","_"))),"")</f>
        <v>Deep</v>
      </c>
      <c r="O3" s="12" t="s">
        <v>80</v>
      </c>
      <c r="P3" s="12" t="s">
        <v>81</v>
      </c>
      <c r="Q3" s="12" t="s">
        <v>82</v>
      </c>
      <c r="R3" s="12" t="s">
        <v>83</v>
      </c>
      <c r="S3" s="12" t="s">
        <v>84</v>
      </c>
      <c r="T3" s="12" t="s">
        <v>85</v>
      </c>
      <c r="U3" s="12"/>
      <c r="V3" s="12"/>
      <c r="W3" s="12"/>
      <c r="Z3" s="4" t="str">
        <f t="array" ref="Z3:AI3">iferror(transpose(INDIRECT(SUBSTITUTE($D3," ","_"))),"")</f>
        <v>Suhas</v>
      </c>
      <c r="AA3" s="12" t="s">
        <v>62</v>
      </c>
      <c r="AB3" s="12" t="s">
        <v>63</v>
      </c>
      <c r="AC3" s="12" t="s">
        <v>64</v>
      </c>
      <c r="AD3" s="12" t="s">
        <v>65</v>
      </c>
      <c r="AE3" s="12" t="s">
        <v>66</v>
      </c>
      <c r="AF3" s="12" t="s">
        <v>67</v>
      </c>
      <c r="AG3" s="12"/>
      <c r="AH3" s="12"/>
      <c r="AI3" s="12"/>
    </row>
    <row r="4">
      <c r="A4" s="10">
        <v>1.0</v>
      </c>
      <c r="B4" s="10">
        <v>2.0</v>
      </c>
      <c r="C4" s="4" t="str">
        <f t="array" ref="C4">iferror(INDEX(Fixtures_Results!$E$2:$F$12,MATCH($A4,Fixtures_Results!$A$2:$A$12,0),MATCH("BatTeam"&amp;$B4,Fixtures_Results!$E$1:$F$1,0)),"")</f>
        <v>Take Em Deep</v>
      </c>
      <c r="D4" s="4" t="str">
        <f t="array" ref="D4">iferror(INDEX(Fixtures_Results!$E$2:$F$12,MATCH($A4,Fixtures_Results!$A$2:$A$12,0),MATCH("BatTeam"&amp;2*1/$B4,Fixtures_Results!$E$1:$F$1,0)),"")</f>
        <v>Crabtree CC</v>
      </c>
      <c r="E4" s="8" t="s">
        <v>85</v>
      </c>
      <c r="F4" s="10">
        <v>0.0</v>
      </c>
      <c r="G4" s="10">
        <v>1.0</v>
      </c>
      <c r="H4" s="10">
        <v>0.0</v>
      </c>
      <c r="I4" s="10">
        <v>0.0</v>
      </c>
      <c r="J4" s="8" t="s">
        <v>122</v>
      </c>
      <c r="K4" s="10" t="s">
        <v>61</v>
      </c>
      <c r="L4" s="11"/>
      <c r="N4" s="4" t="str">
        <f t="array" ref="N4:W4">iferror(transpose(INDIRECT(SUBSTITUTE($C4," ","_"))),"")</f>
        <v>Deep</v>
      </c>
      <c r="O4" s="12" t="s">
        <v>80</v>
      </c>
      <c r="P4" s="12" t="s">
        <v>81</v>
      </c>
      <c r="Q4" s="12" t="s">
        <v>82</v>
      </c>
      <c r="R4" s="12" t="s">
        <v>83</v>
      </c>
      <c r="S4" s="12" t="s">
        <v>84</v>
      </c>
      <c r="T4" s="12" t="s">
        <v>85</v>
      </c>
      <c r="U4" s="12"/>
      <c r="V4" s="12"/>
      <c r="W4" s="12"/>
      <c r="Z4" s="4" t="str">
        <f t="array" ref="Z4:AI4">iferror(transpose(INDIRECT(SUBSTITUTE($D4," ","_"))),"")</f>
        <v>Suhas</v>
      </c>
      <c r="AA4" s="12" t="s">
        <v>62</v>
      </c>
      <c r="AB4" s="12" t="s">
        <v>63</v>
      </c>
      <c r="AC4" s="12" t="s">
        <v>64</v>
      </c>
      <c r="AD4" s="12" t="s">
        <v>65</v>
      </c>
      <c r="AE4" s="12" t="s">
        <v>66</v>
      </c>
      <c r="AF4" s="12" t="s">
        <v>67</v>
      </c>
      <c r="AG4" s="12"/>
      <c r="AH4" s="12"/>
      <c r="AI4" s="12"/>
    </row>
    <row r="5">
      <c r="A5" s="10">
        <v>1.0</v>
      </c>
      <c r="B5" s="10">
        <v>1.0</v>
      </c>
      <c r="C5" s="4" t="str">
        <f t="array" ref="C5">iferror(INDEX(Fixtures_Results!$E$2:$F$12,MATCH($A5,Fixtures_Results!$A$2:$A$12,0),MATCH("BatTeam"&amp;$B5,Fixtures_Results!$E$1:$F$1,0)),"")</f>
        <v>Crabtree CC</v>
      </c>
      <c r="D5" s="4" t="str">
        <f t="array" ref="D5">iferror(INDEX(Fixtures_Results!$E$2:$F$12,MATCH($A5,Fixtures_Results!$A$2:$A$12,0),MATCH("BatTeam"&amp;2*1/$B5,Fixtures_Results!$E$1:$F$1,0)),"")</f>
        <v>Take Em Deep</v>
      </c>
      <c r="E5" s="8" t="s">
        <v>62</v>
      </c>
      <c r="F5" s="11"/>
      <c r="G5" s="11"/>
      <c r="H5" s="11"/>
      <c r="I5" s="11"/>
      <c r="J5" s="6"/>
      <c r="K5" s="11"/>
      <c r="L5" s="11"/>
      <c r="N5" s="4" t="str">
        <f t="array" ref="N5:W5">iferror(transpose(INDIRECT(SUBSTITUTE($C5," ","_"))),"")</f>
        <v>Suhas</v>
      </c>
      <c r="O5" s="12" t="s">
        <v>62</v>
      </c>
      <c r="P5" s="12" t="s">
        <v>63</v>
      </c>
      <c r="Q5" s="12" t="s">
        <v>64</v>
      </c>
      <c r="R5" s="12" t="s">
        <v>65</v>
      </c>
      <c r="S5" s="12" t="s">
        <v>66</v>
      </c>
      <c r="T5" s="12" t="s">
        <v>67</v>
      </c>
      <c r="U5" s="12"/>
      <c r="V5" s="12"/>
      <c r="W5" s="12"/>
      <c r="Z5" s="4" t="str">
        <f t="array" ref="Z5:AI5">iferror(transpose(INDIRECT(SUBSTITUTE($D5," ","_"))),"")</f>
        <v>Deep</v>
      </c>
      <c r="AA5" s="12" t="s">
        <v>80</v>
      </c>
      <c r="AB5" s="12" t="s">
        <v>81</v>
      </c>
      <c r="AC5" s="12" t="s">
        <v>82</v>
      </c>
      <c r="AD5" s="12" t="s">
        <v>83</v>
      </c>
      <c r="AE5" s="12" t="s">
        <v>84</v>
      </c>
      <c r="AF5" s="12" t="s">
        <v>85</v>
      </c>
      <c r="AG5" s="12"/>
      <c r="AH5" s="12"/>
      <c r="AI5" s="12"/>
    </row>
    <row r="6">
      <c r="A6" s="10">
        <v>1.0</v>
      </c>
      <c r="B6" s="10">
        <v>1.0</v>
      </c>
      <c r="C6" s="4" t="str">
        <f t="array" ref="C6">iferror(INDEX(Fixtures_Results!$E$2:$F$12,MATCH($A6,Fixtures_Results!$A$2:$A$12,0),MATCH("BatTeam"&amp;$B6,Fixtures_Results!$E$1:$F$1,0)),"")</f>
        <v>Crabtree CC</v>
      </c>
      <c r="D6" s="4" t="str">
        <f t="array" ref="D6">iferror(INDEX(Fixtures_Results!$E$2:$F$12,MATCH($A6,Fixtures_Results!$A$2:$A$12,0),MATCH("BatTeam"&amp;2*1/$B6,Fixtures_Results!$E$1:$F$1,0)),"")</f>
        <v>Take Em Deep</v>
      </c>
      <c r="E6" s="8" t="s">
        <v>62</v>
      </c>
      <c r="F6" s="11"/>
      <c r="G6" s="11"/>
      <c r="H6" s="11"/>
      <c r="I6" s="11"/>
      <c r="J6" s="6"/>
      <c r="K6" s="11"/>
      <c r="L6" s="11"/>
      <c r="N6" s="4" t="str">
        <f t="array" ref="N6:W6">iferror(transpose(INDIRECT(SUBSTITUTE($C6," ","_"))),"")</f>
        <v>Suhas</v>
      </c>
      <c r="O6" s="12" t="s">
        <v>62</v>
      </c>
      <c r="P6" s="12" t="s">
        <v>63</v>
      </c>
      <c r="Q6" s="12" t="s">
        <v>64</v>
      </c>
      <c r="R6" s="12" t="s">
        <v>65</v>
      </c>
      <c r="S6" s="12" t="s">
        <v>66</v>
      </c>
      <c r="T6" s="12" t="s">
        <v>67</v>
      </c>
      <c r="U6" s="12"/>
      <c r="V6" s="12"/>
      <c r="W6" s="12"/>
      <c r="Z6" s="4" t="str">
        <f t="array" ref="Z6:AI6">iferror(transpose(INDIRECT(SUBSTITUTE($D6," ","_"))),"")</f>
        <v>Deep</v>
      </c>
      <c r="AA6" s="12" t="s">
        <v>80</v>
      </c>
      <c r="AB6" s="12" t="s">
        <v>81</v>
      </c>
      <c r="AC6" s="12" t="s">
        <v>82</v>
      </c>
      <c r="AD6" s="12" t="s">
        <v>83</v>
      </c>
      <c r="AE6" s="12" t="s">
        <v>84</v>
      </c>
      <c r="AF6" s="12" t="s">
        <v>85</v>
      </c>
      <c r="AG6" s="12"/>
      <c r="AH6" s="12"/>
      <c r="AI6" s="12"/>
    </row>
    <row r="7">
      <c r="A7" s="10">
        <v>2.0</v>
      </c>
      <c r="B7" s="10">
        <v>1.0</v>
      </c>
      <c r="C7" s="4" t="str">
        <f t="array" ref="C7">iferror(INDEX(Fixtures_Results!$E$2:$F$12,MATCH($A7,Fixtures_Results!$A$2:$A$12,0),MATCH("BatTeam"&amp;$B7,Fixtures_Results!$E$1:$F$1,0)),"")</f>
        <v>Fable 6</v>
      </c>
      <c r="D7" s="4" t="str">
        <f t="array" ref="D7">iferror(INDEX(Fixtures_Results!$E$2:$F$12,MATCH($A7,Fixtures_Results!$A$2:$A$12,0),MATCH("BatTeam"&amp;2*1/$B7,Fixtures_Results!$E$1:$F$1,0)),"")</f>
        <v>Redback Rapscallions</v>
      </c>
      <c r="E7" s="8" t="s">
        <v>87</v>
      </c>
      <c r="F7" s="11"/>
      <c r="G7" s="11"/>
      <c r="H7" s="11"/>
      <c r="I7" s="11"/>
      <c r="J7" s="6"/>
      <c r="K7" s="11"/>
      <c r="L7" s="11"/>
      <c r="N7" s="4" t="str">
        <f t="array" ref="N7:W7">iferror(transpose(INDIRECT(SUBSTITUTE($C7," ","_"))),"")</f>
        <v>Himanshu</v>
      </c>
      <c r="O7" s="12" t="s">
        <v>87</v>
      </c>
      <c r="P7" s="12" t="s">
        <v>89</v>
      </c>
      <c r="Q7" s="12" t="s">
        <v>90</v>
      </c>
      <c r="R7" s="12" t="s">
        <v>91</v>
      </c>
      <c r="S7" s="12" t="s">
        <v>92</v>
      </c>
      <c r="T7" s="12"/>
      <c r="U7" s="12"/>
      <c r="V7" s="12"/>
      <c r="W7" s="12"/>
      <c r="Z7" s="4" t="str">
        <f t="array" ref="Z7:AI7">iferror(transpose(INDIRECT(SUBSTITUTE($D7," ","_"))),"")</f>
        <v>Deano</v>
      </c>
      <c r="AA7" s="12" t="s">
        <v>94</v>
      </c>
      <c r="AB7" s="12" t="s">
        <v>95</v>
      </c>
      <c r="AC7" s="12" t="s">
        <v>96</v>
      </c>
      <c r="AD7" s="12" t="s">
        <v>97</v>
      </c>
      <c r="AE7" s="12" t="s">
        <v>98</v>
      </c>
      <c r="AF7" s="12"/>
      <c r="AG7" s="12"/>
      <c r="AH7" s="12"/>
      <c r="AI7" s="12"/>
    </row>
    <row r="8">
      <c r="A8" s="10">
        <v>2.0</v>
      </c>
      <c r="B8" s="10">
        <v>2.0</v>
      </c>
      <c r="C8" s="4" t="str">
        <f t="array" ref="C8">iferror(INDEX(Fixtures_Results!$E$2:$F$12,MATCH($A8,Fixtures_Results!$A$2:$A$12,0),MATCH("BatTeam"&amp;$B8,Fixtures_Results!$E$1:$F$1,0)),"")</f>
        <v>Redback Rapscallions</v>
      </c>
      <c r="D8" s="4" t="str">
        <f t="array" ref="D8">iferror(INDEX(Fixtures_Results!$E$2:$F$12,MATCH($A8,Fixtures_Results!$A$2:$A$12,0),MATCH("BatTeam"&amp;2*1/$B8,Fixtures_Results!$E$1:$F$1,0)),"")</f>
        <v>Fable 6</v>
      </c>
      <c r="E8" s="8" t="s">
        <v>93</v>
      </c>
      <c r="F8" s="11"/>
      <c r="G8" s="11"/>
      <c r="H8" s="11"/>
      <c r="I8" s="11"/>
      <c r="J8" s="6"/>
      <c r="K8" s="10" t="s">
        <v>86</v>
      </c>
      <c r="L8" s="11"/>
      <c r="N8" s="4" t="str">
        <f t="array" ref="N8:W8">iferror(transpose(INDIRECT(SUBSTITUTE($C8," ","_"))),"")</f>
        <v>Deano</v>
      </c>
      <c r="O8" s="12" t="s">
        <v>94</v>
      </c>
      <c r="P8" s="12" t="s">
        <v>95</v>
      </c>
      <c r="Q8" s="12" t="s">
        <v>96</v>
      </c>
      <c r="R8" s="12" t="s">
        <v>97</v>
      </c>
      <c r="S8" s="12" t="s">
        <v>98</v>
      </c>
      <c r="T8" s="12"/>
      <c r="U8" s="12"/>
      <c r="V8" s="12"/>
      <c r="W8" s="12"/>
      <c r="Z8" s="4" t="str">
        <f t="array" ref="Z8:AI8">iferror(transpose(INDIRECT(SUBSTITUTE($D8," ","_"))),"")</f>
        <v>Himanshu</v>
      </c>
      <c r="AA8" s="12" t="s">
        <v>87</v>
      </c>
      <c r="AB8" s="12" t="s">
        <v>89</v>
      </c>
      <c r="AC8" s="12" t="s">
        <v>90</v>
      </c>
      <c r="AD8" s="12" t="s">
        <v>91</v>
      </c>
      <c r="AE8" s="12" t="s">
        <v>92</v>
      </c>
      <c r="AF8" s="12"/>
      <c r="AG8" s="12"/>
      <c r="AH8" s="12"/>
      <c r="AI8" s="12"/>
    </row>
    <row r="9">
      <c r="A9" s="10">
        <v>3.0</v>
      </c>
      <c r="B9" s="10">
        <v>1.0</v>
      </c>
      <c r="C9" s="4" t="str">
        <f t="array" ref="C9">iferror(INDEX(Fixtures_Results!$E$2:$F$12,MATCH($A9,Fixtures_Results!$A$2:$A$12,0),MATCH("BatTeam"&amp;$B9,Fixtures_Results!$E$1:$F$1,0)),"")</f>
        <v>Crabtree CC</v>
      </c>
      <c r="D9" s="4" t="str">
        <f t="array" ref="D9">iferror(INDEX(Fixtures_Results!$E$2:$F$12,MATCH($A9,Fixtures_Results!$A$2:$A$12,0),MATCH("BatTeam"&amp;2*1/$B9,Fixtures_Results!$E$1:$F$1,0)),"")</f>
        <v>Mumbai Indians Imperial</v>
      </c>
      <c r="E9" s="8" t="s">
        <v>61</v>
      </c>
      <c r="F9" s="10">
        <v>24.0</v>
      </c>
      <c r="G9" s="10">
        <v>12.0</v>
      </c>
      <c r="H9" s="10">
        <v>1.0</v>
      </c>
      <c r="I9" s="10">
        <v>2.0</v>
      </c>
      <c r="J9" s="8" t="s">
        <v>122</v>
      </c>
      <c r="K9" s="10" t="s">
        <v>69</v>
      </c>
      <c r="L9" s="11"/>
      <c r="N9" s="4" t="str">
        <f t="array" ref="N9:W9">iferror(transpose(INDIRECT(SUBSTITUTE($C9," ","_"))),"")</f>
        <v>Suhas</v>
      </c>
      <c r="O9" s="12" t="s">
        <v>62</v>
      </c>
      <c r="P9" s="12" t="s">
        <v>63</v>
      </c>
      <c r="Q9" s="12" t="s">
        <v>64</v>
      </c>
      <c r="R9" s="12" t="s">
        <v>65</v>
      </c>
      <c r="S9" s="12" t="s">
        <v>66</v>
      </c>
      <c r="T9" s="12" t="s">
        <v>67</v>
      </c>
      <c r="U9" s="12"/>
      <c r="V9" s="12"/>
      <c r="W9" s="12"/>
      <c r="Z9" s="4" t="str">
        <f t="array" ref="Z9:AI9">iferror(transpose(INDIRECT(SUBSTITUTE($D9," ","_"))),"")</f>
        <v>James H</v>
      </c>
      <c r="AA9" s="12" t="s">
        <v>71</v>
      </c>
      <c r="AB9" s="12" t="s">
        <v>72</v>
      </c>
      <c r="AC9" s="12" t="s">
        <v>73</v>
      </c>
      <c r="AD9" s="12" t="s">
        <v>74</v>
      </c>
      <c r="AE9" s="12" t="s">
        <v>75</v>
      </c>
      <c r="AF9" s="12"/>
      <c r="AG9" s="12"/>
      <c r="AH9" s="12"/>
      <c r="AI9" s="12"/>
    </row>
    <row r="10">
      <c r="A10" s="10">
        <v>3.0</v>
      </c>
      <c r="B10" s="10">
        <v>2.0</v>
      </c>
      <c r="C10" s="4" t="str">
        <f t="array" ref="C10">iferror(INDEX(Fixtures_Results!$E$2:$F$12,MATCH($A10,Fixtures_Results!$A$2:$A$12,0),MATCH("BatTeam"&amp;$B10,Fixtures_Results!$E$1:$F$1,0)),"")</f>
        <v>Mumbai Indians Imperial</v>
      </c>
      <c r="D10" s="4" t="str">
        <f t="array" ref="D10">iferror(INDEX(Fixtures_Results!$E$2:$F$12,MATCH($A10,Fixtures_Results!$A$2:$A$12,0),MATCH("BatTeam"&amp;2*1/$B10,Fixtures_Results!$E$1:$F$1,0)),"")</f>
        <v>Crabtree CC</v>
      </c>
      <c r="E10" s="8" t="s">
        <v>69</v>
      </c>
      <c r="F10" s="10">
        <v>0.0</v>
      </c>
      <c r="G10" s="10">
        <v>1.0</v>
      </c>
      <c r="H10" s="11"/>
      <c r="I10" s="11"/>
      <c r="J10" s="8" t="s">
        <v>123</v>
      </c>
      <c r="K10" s="10" t="s">
        <v>62</v>
      </c>
      <c r="L10" s="11"/>
      <c r="N10" s="4" t="str">
        <f t="array" ref="N10:W10">iferror(transpose(INDIRECT(SUBSTITUTE($C10," ","_"))),"")</f>
        <v>James H</v>
      </c>
      <c r="O10" s="12" t="s">
        <v>71</v>
      </c>
      <c r="P10" s="12" t="s">
        <v>72</v>
      </c>
      <c r="Q10" s="12" t="s">
        <v>73</v>
      </c>
      <c r="R10" s="12" t="s">
        <v>74</v>
      </c>
      <c r="S10" s="12" t="s">
        <v>75</v>
      </c>
      <c r="T10" s="12"/>
      <c r="U10" s="12"/>
      <c r="V10" s="12"/>
      <c r="W10" s="12"/>
      <c r="Z10" s="4" t="str">
        <f t="array" ref="Z10:AI10">iferror(transpose(INDIRECT(SUBSTITUTE($D10," ","_"))),"")</f>
        <v>Suhas</v>
      </c>
      <c r="AA10" s="12" t="s">
        <v>62</v>
      </c>
      <c r="AB10" s="12" t="s">
        <v>63</v>
      </c>
      <c r="AC10" s="12" t="s">
        <v>64</v>
      </c>
      <c r="AD10" s="12" t="s">
        <v>65</v>
      </c>
      <c r="AE10" s="12" t="s">
        <v>66</v>
      </c>
      <c r="AF10" s="12" t="s">
        <v>67</v>
      </c>
      <c r="AG10" s="12"/>
      <c r="AH10" s="12"/>
      <c r="AI10" s="12"/>
    </row>
    <row r="11">
      <c r="A11" s="11"/>
      <c r="B11" s="11"/>
      <c r="C11" s="4" t="str">
        <f t="array" ref="C11">iferror(INDEX(Fixtures_Results!$E$2:$F$12,MATCH($A11,Fixtures_Results!$A$2:$A$12,0),MATCH("BatTeam"&amp;$B11,Fixtures_Results!$E$1:$F$1,0)),"")</f>
        <v/>
      </c>
      <c r="D11" s="4" t="str">
        <f t="array" ref="D11">iferror(INDEX(Fixtures_Results!$E$2:$F$12,MATCH($A11,Fixtures_Results!$A$2:$A$12,0),MATCH("BatTeam"&amp;2*1/$B11,Fixtures_Results!$E$1:$F$1,0)),"")</f>
        <v/>
      </c>
      <c r="E11" s="6"/>
      <c r="F11" s="11"/>
      <c r="G11" s="11"/>
      <c r="H11" s="11"/>
      <c r="I11" s="11"/>
      <c r="J11" s="6"/>
      <c r="K11" s="11"/>
      <c r="L11" s="11"/>
      <c r="N11" s="4" t="str">
        <f t="array" ref="N11">iferror(transpose(INDIRECT(SUBSTITUTE($C11," ","_"))),"")</f>
        <v/>
      </c>
      <c r="Z11" s="4" t="str">
        <f t="array" ref="Z11">iferror(transpose(INDIRECT(SUBSTITUTE($D11," ","_"))),"")</f>
        <v/>
      </c>
    </row>
    <row r="12">
      <c r="A12" s="11"/>
      <c r="B12" s="11"/>
      <c r="C12" s="4" t="str">
        <f t="array" ref="C12">iferror(INDEX(Fixtures_Results!$E$2:$F$12,MATCH($A12,Fixtures_Results!$A$2:$A$12,0),MATCH("BatTeam"&amp;$B12,Fixtures_Results!$E$1:$F$1,0)),"")</f>
        <v/>
      </c>
      <c r="D12" s="4" t="str">
        <f t="array" ref="D12">iferror(INDEX(Fixtures_Results!$E$2:$F$12,MATCH($A12,Fixtures_Results!$A$2:$A$12,0),MATCH("BatTeam"&amp;2*1/$B12,Fixtures_Results!$E$1:$F$1,0)),"")</f>
        <v/>
      </c>
      <c r="E12" s="6"/>
      <c r="F12" s="11"/>
      <c r="G12" s="11"/>
      <c r="H12" s="11"/>
      <c r="I12" s="11"/>
      <c r="J12" s="6"/>
      <c r="K12" s="11"/>
      <c r="L12" s="11"/>
      <c r="N12" s="4" t="str">
        <f t="array" ref="N12">iferror(transpose(INDIRECT(SUBSTITUTE($C12," ","_"))),"")</f>
        <v/>
      </c>
      <c r="Z12" s="4" t="str">
        <f t="array" ref="Z12">iferror(transpose(INDIRECT(SUBSTITUTE($D12," ","_"))),"")</f>
        <v/>
      </c>
    </row>
    <row r="13">
      <c r="A13" s="11"/>
      <c r="B13" s="11"/>
      <c r="C13" s="4" t="str">
        <f t="array" ref="C13">iferror(INDEX(Fixtures_Results!$E$2:$F$12,MATCH($A13,Fixtures_Results!$A$2:$A$12,0),MATCH("BatTeam"&amp;$B13,Fixtures_Results!$E$1:$F$1,0)),"")</f>
        <v/>
      </c>
      <c r="D13" s="4" t="str">
        <f t="array" ref="D13">iferror(INDEX(Fixtures_Results!$E$2:$F$12,MATCH($A13,Fixtures_Results!$A$2:$A$12,0),MATCH("BatTeam"&amp;2*1/$B13,Fixtures_Results!$E$1:$F$1,0)),"")</f>
        <v/>
      </c>
      <c r="E13" s="6"/>
      <c r="F13" s="11"/>
      <c r="G13" s="11"/>
      <c r="H13" s="11"/>
      <c r="I13" s="11"/>
      <c r="J13" s="6"/>
      <c r="K13" s="11"/>
      <c r="L13" s="11"/>
      <c r="N13" s="4" t="str">
        <f t="array" ref="N13">iferror(transpose(INDIRECT(SUBSTITUTE($C13," ","_"))),"")</f>
        <v/>
      </c>
      <c r="Z13" s="4" t="str">
        <f t="array" ref="Z13">iferror(transpose(INDIRECT(SUBSTITUTE($D13," ","_"))),"")</f>
        <v/>
      </c>
    </row>
    <row r="14">
      <c r="A14" s="11"/>
      <c r="B14" s="11"/>
      <c r="C14" s="4" t="str">
        <f t="array" ref="C14">iferror(INDEX(Fixtures_Results!$E$2:$F$12,MATCH($A14,Fixtures_Results!$A$2:$A$12,0),MATCH("BatTeam"&amp;$B14,Fixtures_Results!$E$1:$F$1,0)),"")</f>
        <v/>
      </c>
      <c r="D14" s="4" t="str">
        <f t="array" ref="D14">iferror(INDEX(Fixtures_Results!$E$2:$F$12,MATCH($A14,Fixtures_Results!$A$2:$A$12,0),MATCH("BatTeam"&amp;2*1/$B14,Fixtures_Results!$E$1:$F$1,0)),"")</f>
        <v/>
      </c>
      <c r="E14" s="6"/>
      <c r="F14" s="11"/>
      <c r="G14" s="11"/>
      <c r="H14" s="11"/>
      <c r="I14" s="11"/>
      <c r="J14" s="6"/>
      <c r="K14" s="11"/>
      <c r="L14" s="11"/>
      <c r="N14" s="4" t="str">
        <f t="array" ref="N14">iferror(transpose(INDIRECT(SUBSTITUTE($C14," ","_"))),"")</f>
        <v/>
      </c>
      <c r="Z14" s="4" t="str">
        <f t="array" ref="Z14">iferror(transpose(INDIRECT(SUBSTITUTE($D14," ","_"))),"")</f>
        <v/>
      </c>
    </row>
    <row r="15">
      <c r="A15" s="11"/>
      <c r="B15" s="11"/>
      <c r="C15" s="4" t="str">
        <f t="array" ref="C15">iferror(INDEX(Fixtures_Results!$E$2:$F$12,MATCH($A15,Fixtures_Results!$A$2:$A$12,0),MATCH("BatTeam"&amp;$B15,Fixtures_Results!$E$1:$F$1,0)),"")</f>
        <v/>
      </c>
      <c r="D15" s="4" t="str">
        <f t="array" ref="D15">iferror(INDEX(Fixtures_Results!$E$2:$F$12,MATCH($A15,Fixtures_Results!$A$2:$A$12,0),MATCH("BatTeam"&amp;2*1/$B15,Fixtures_Results!$E$1:$F$1,0)),"")</f>
        <v/>
      </c>
      <c r="E15" s="6"/>
      <c r="F15" s="11"/>
      <c r="G15" s="11"/>
      <c r="H15" s="11"/>
      <c r="I15" s="11"/>
      <c r="J15" s="6"/>
      <c r="K15" s="11"/>
      <c r="L15" s="11"/>
      <c r="N15" s="4" t="str">
        <f t="array" ref="N15">iferror(transpose(INDIRECT(SUBSTITUTE($C15," ","_"))),"")</f>
        <v/>
      </c>
      <c r="Z15" s="4" t="str">
        <f t="array" ref="Z15">iferror(transpose(INDIRECT(SUBSTITUTE($D15," ","_"))),"")</f>
        <v/>
      </c>
    </row>
    <row r="16">
      <c r="A16" s="11"/>
      <c r="B16" s="11"/>
      <c r="C16" s="4" t="str">
        <f t="array" ref="C16">iferror(INDEX(Fixtures_Results!$E$2:$F$12,MATCH($A16,Fixtures_Results!$A$2:$A$12,0),MATCH("BatTeam"&amp;$B16,Fixtures_Results!$E$1:$F$1,0)),"")</f>
        <v/>
      </c>
      <c r="D16" s="4" t="str">
        <f t="array" ref="D16">iferror(INDEX(Fixtures_Results!$E$2:$F$12,MATCH($A16,Fixtures_Results!$A$2:$A$12,0),MATCH("BatTeam"&amp;2*1/$B16,Fixtures_Results!$E$1:$F$1,0)),"")</f>
        <v/>
      </c>
      <c r="E16" s="6"/>
      <c r="F16" s="11"/>
      <c r="G16" s="11"/>
      <c r="H16" s="11"/>
      <c r="I16" s="11"/>
      <c r="J16" s="6"/>
      <c r="K16" s="11"/>
      <c r="L16" s="11"/>
      <c r="N16" s="4" t="str">
        <f t="array" ref="N16">iferror(transpose(INDIRECT(SUBSTITUTE($C16," ","_"))),"")</f>
        <v/>
      </c>
      <c r="Z16" s="4" t="str">
        <f t="array" ref="Z16">iferror(transpose(INDIRECT(SUBSTITUTE($D16," ","_"))),"")</f>
        <v/>
      </c>
    </row>
    <row r="17">
      <c r="A17" s="11"/>
      <c r="B17" s="11"/>
      <c r="C17" s="4" t="str">
        <f t="array" ref="C17">iferror(INDEX(Fixtures_Results!$E$2:$F$12,MATCH($A17,Fixtures_Results!$A$2:$A$12,0),MATCH("BatTeam"&amp;$B17,Fixtures_Results!$E$1:$F$1,0)),"")</f>
        <v/>
      </c>
      <c r="D17" s="4" t="str">
        <f t="array" ref="D17">iferror(INDEX(Fixtures_Results!$E$2:$F$12,MATCH($A17,Fixtures_Results!$A$2:$A$12,0),MATCH("BatTeam"&amp;2*1/$B17,Fixtures_Results!$E$1:$F$1,0)),"")</f>
        <v/>
      </c>
      <c r="E17" s="6"/>
      <c r="F17" s="11"/>
      <c r="G17" s="11"/>
      <c r="H17" s="11"/>
      <c r="I17" s="11"/>
      <c r="J17" s="6"/>
      <c r="K17" s="11"/>
      <c r="L17" s="11"/>
      <c r="N17" s="4" t="str">
        <f t="array" ref="N17">iferror(transpose(INDIRECT(SUBSTITUTE($C17," ","_"))),"")</f>
        <v/>
      </c>
      <c r="Z17" s="4" t="str">
        <f t="array" ref="Z17">iferror(transpose(INDIRECT(SUBSTITUTE($D17," ","_"))),"")</f>
        <v/>
      </c>
    </row>
    <row r="18">
      <c r="A18" s="11"/>
      <c r="B18" s="11"/>
      <c r="C18" s="4" t="str">
        <f t="array" ref="C18">iferror(INDEX(Fixtures_Results!$E$2:$F$12,MATCH($A18,Fixtures_Results!$A$2:$A$12,0),MATCH("BatTeam"&amp;$B18,Fixtures_Results!$E$1:$F$1,0)),"")</f>
        <v/>
      </c>
      <c r="D18" s="4" t="str">
        <f t="array" ref="D18">iferror(INDEX(Fixtures_Results!$E$2:$F$12,MATCH($A18,Fixtures_Results!$A$2:$A$12,0),MATCH("BatTeam"&amp;2*1/$B18,Fixtures_Results!$E$1:$F$1,0)),"")</f>
        <v/>
      </c>
      <c r="E18" s="6"/>
      <c r="F18" s="11"/>
      <c r="G18" s="11"/>
      <c r="H18" s="11"/>
      <c r="I18" s="11"/>
      <c r="J18" s="6"/>
      <c r="K18" s="11"/>
      <c r="L18" s="11"/>
      <c r="N18" s="4" t="str">
        <f t="array" ref="N18">iferror(transpose(INDIRECT(SUBSTITUTE($C18," ","_"))),"")</f>
        <v/>
      </c>
      <c r="Z18" s="4" t="str">
        <f t="array" ref="Z18">iferror(transpose(INDIRECT(SUBSTITUTE($D18," ","_"))),"")</f>
        <v/>
      </c>
    </row>
    <row r="19">
      <c r="A19" s="11"/>
      <c r="B19" s="11"/>
      <c r="C19" s="4" t="str">
        <f t="array" ref="C19">iferror(INDEX(Fixtures_Results!$E$2:$F$12,MATCH($A19,Fixtures_Results!$A$2:$A$12,0),MATCH("BatTeam"&amp;$B19,Fixtures_Results!$E$1:$F$1,0)),"")</f>
        <v/>
      </c>
      <c r="D19" s="4" t="str">
        <f t="array" ref="D19">iferror(INDEX(Fixtures_Results!$E$2:$F$12,MATCH($A19,Fixtures_Results!$A$2:$A$12,0),MATCH("BatTeam"&amp;2*1/$B19,Fixtures_Results!$E$1:$F$1,0)),"")</f>
        <v/>
      </c>
      <c r="E19" s="6"/>
      <c r="F19" s="11"/>
      <c r="G19" s="11"/>
      <c r="H19" s="11"/>
      <c r="I19" s="11"/>
      <c r="J19" s="6"/>
      <c r="K19" s="11"/>
      <c r="L19" s="11"/>
      <c r="N19" s="4" t="str">
        <f t="array" ref="N19">iferror(transpose(INDIRECT(SUBSTITUTE($C19," ","_"))),"")</f>
        <v/>
      </c>
      <c r="Z19" s="4" t="str">
        <f t="array" ref="Z19">iferror(transpose(INDIRECT(SUBSTITUTE($D19," ","_"))),"")</f>
        <v/>
      </c>
    </row>
    <row r="20">
      <c r="A20" s="11"/>
      <c r="B20" s="11"/>
      <c r="C20" s="4" t="str">
        <f t="array" ref="C20">iferror(INDEX(Fixtures_Results!$E$2:$F$12,MATCH($A20,Fixtures_Results!$A$2:$A$12,0),MATCH("BatTeam"&amp;$B20,Fixtures_Results!$E$1:$F$1,0)),"")</f>
        <v/>
      </c>
      <c r="D20" s="4" t="str">
        <f t="array" ref="D20">iferror(INDEX(Fixtures_Results!$E$2:$F$12,MATCH($A20,Fixtures_Results!$A$2:$A$12,0),MATCH("BatTeam"&amp;2*1/$B20,Fixtures_Results!$E$1:$F$1,0)),"")</f>
        <v/>
      </c>
      <c r="E20" s="6"/>
      <c r="F20" s="11"/>
      <c r="G20" s="11"/>
      <c r="H20" s="11"/>
      <c r="I20" s="11"/>
      <c r="J20" s="6"/>
      <c r="K20" s="11"/>
      <c r="L20" s="11"/>
      <c r="N20" s="4" t="str">
        <f t="array" ref="N20">iferror(transpose(INDIRECT(SUBSTITUTE($C20," ","_"))),"")</f>
        <v/>
      </c>
      <c r="Z20" s="4" t="str">
        <f t="array" ref="Z20">iferror(transpose(INDIRECT(SUBSTITUTE($D20," ","_"))),"")</f>
        <v/>
      </c>
    </row>
    <row r="21" ht="15.75" customHeight="1">
      <c r="A21" s="11"/>
      <c r="B21" s="11"/>
      <c r="C21" s="4" t="str">
        <f t="array" ref="C21">iferror(INDEX(Fixtures_Results!$E$2:$F$12,MATCH($A21,Fixtures_Results!$A$2:$A$12,0),MATCH("BatTeam"&amp;$B21,Fixtures_Results!$E$1:$F$1,0)),"")</f>
        <v/>
      </c>
      <c r="D21" s="4" t="str">
        <f t="array" ref="D21">iferror(INDEX(Fixtures_Results!$E$2:$F$12,MATCH($A21,Fixtures_Results!$A$2:$A$12,0),MATCH("BatTeam"&amp;2*1/$B21,Fixtures_Results!$E$1:$F$1,0)),"")</f>
        <v/>
      </c>
      <c r="E21" s="6"/>
      <c r="F21" s="11"/>
      <c r="G21" s="11"/>
      <c r="H21" s="11"/>
      <c r="I21" s="11"/>
      <c r="J21" s="6"/>
      <c r="K21" s="11"/>
      <c r="L21" s="11"/>
      <c r="N21" s="4" t="str">
        <f t="array" ref="N21">iferror(transpose(INDIRECT(SUBSTITUTE($C21," ","_"))),"")</f>
        <v/>
      </c>
      <c r="Z21" s="4" t="str">
        <f t="array" ref="Z21">iferror(transpose(INDIRECT(SUBSTITUTE($D21," ","_"))),"")</f>
        <v/>
      </c>
    </row>
    <row r="22" ht="15.75" customHeight="1">
      <c r="A22" s="11"/>
      <c r="B22" s="11"/>
      <c r="C22" s="4" t="str">
        <f t="array" ref="C22">iferror(INDEX(Fixtures_Results!$E$2:$F$12,MATCH($A22,Fixtures_Results!$A$2:$A$12,0),MATCH("BatTeam"&amp;$B22,Fixtures_Results!$E$1:$F$1,0)),"")</f>
        <v/>
      </c>
      <c r="D22" s="4" t="str">
        <f t="array" ref="D22">iferror(INDEX(Fixtures_Results!$E$2:$F$12,MATCH($A22,Fixtures_Results!$A$2:$A$12,0),MATCH("BatTeam"&amp;2*1/$B22,Fixtures_Results!$E$1:$F$1,0)),"")</f>
        <v/>
      </c>
      <c r="E22" s="6"/>
      <c r="F22" s="11"/>
      <c r="G22" s="11"/>
      <c r="H22" s="11"/>
      <c r="I22" s="11"/>
      <c r="J22" s="6"/>
      <c r="K22" s="11"/>
      <c r="L22" s="11"/>
      <c r="N22" s="4" t="str">
        <f t="array" ref="N22">iferror(transpose(INDIRECT(SUBSTITUTE($C22," ","_"))),"")</f>
        <v/>
      </c>
      <c r="Z22" s="4" t="str">
        <f t="array" ref="Z22">iferror(transpose(INDIRECT(SUBSTITUTE($D22," ","_"))),"")</f>
        <v/>
      </c>
    </row>
    <row r="23" ht="15.75" customHeight="1">
      <c r="A23" s="11"/>
      <c r="B23" s="11"/>
      <c r="C23" s="4" t="str">
        <f t="array" ref="C23">iferror(INDEX(Fixtures_Results!$E$2:$F$12,MATCH($A23,Fixtures_Results!$A$2:$A$12,0),MATCH("BatTeam"&amp;$B23,Fixtures_Results!$E$1:$F$1,0)),"")</f>
        <v/>
      </c>
      <c r="D23" s="4" t="str">
        <f t="array" ref="D23">iferror(INDEX(Fixtures_Results!$E$2:$F$12,MATCH($A23,Fixtures_Results!$A$2:$A$12,0),MATCH("BatTeam"&amp;2*1/$B23,Fixtures_Results!$E$1:$F$1,0)),"")</f>
        <v/>
      </c>
      <c r="E23" s="6"/>
      <c r="F23" s="11"/>
      <c r="G23" s="11"/>
      <c r="H23" s="11"/>
      <c r="I23" s="11"/>
      <c r="J23" s="6"/>
      <c r="K23" s="11"/>
      <c r="L23" s="11"/>
      <c r="N23" s="4" t="str">
        <f t="array" ref="N23">iferror(transpose(INDIRECT(SUBSTITUTE($C23," ","_"))),"")</f>
        <v/>
      </c>
      <c r="Z23" s="4" t="str">
        <f t="array" ref="Z23">iferror(transpose(INDIRECT(SUBSTITUTE($D23," ","_"))),"")</f>
        <v/>
      </c>
    </row>
    <row r="24" ht="15.75" customHeight="1">
      <c r="A24" s="11"/>
      <c r="B24" s="11"/>
      <c r="C24" s="4" t="str">
        <f t="array" ref="C24">iferror(INDEX(Fixtures_Results!$E$2:$F$12,MATCH($A24,Fixtures_Results!$A$2:$A$12,0),MATCH("BatTeam"&amp;$B24,Fixtures_Results!$E$1:$F$1,0)),"")</f>
        <v/>
      </c>
      <c r="D24" s="4" t="str">
        <f t="array" ref="D24">iferror(INDEX(Fixtures_Results!$E$2:$F$12,MATCH($A24,Fixtures_Results!$A$2:$A$12,0),MATCH("BatTeam"&amp;2*1/$B24,Fixtures_Results!$E$1:$F$1,0)),"")</f>
        <v/>
      </c>
      <c r="E24" s="6"/>
      <c r="F24" s="11"/>
      <c r="G24" s="11"/>
      <c r="H24" s="11"/>
      <c r="I24" s="11"/>
      <c r="J24" s="6"/>
      <c r="K24" s="11"/>
      <c r="L24" s="11"/>
      <c r="N24" s="4" t="str">
        <f t="array" ref="N24">iferror(transpose(INDIRECT(SUBSTITUTE($C24," ","_"))),"")</f>
        <v/>
      </c>
      <c r="Z24" s="4" t="str">
        <f t="array" ref="Z24">iferror(transpose(INDIRECT(SUBSTITUTE($D24," ","_"))),"")</f>
        <v/>
      </c>
    </row>
    <row r="25" ht="15.75" customHeight="1">
      <c r="A25" s="11"/>
      <c r="B25" s="11"/>
      <c r="C25" s="4" t="str">
        <f t="array" ref="C25">iferror(INDEX(Fixtures_Results!$E$2:$F$12,MATCH($A25,Fixtures_Results!$A$2:$A$12,0),MATCH("BatTeam"&amp;$B25,Fixtures_Results!$E$1:$F$1,0)),"")</f>
        <v/>
      </c>
      <c r="D25" s="4" t="str">
        <f t="array" ref="D25">iferror(INDEX(Fixtures_Results!$E$2:$F$12,MATCH($A25,Fixtures_Results!$A$2:$A$12,0),MATCH("BatTeam"&amp;2*1/$B25,Fixtures_Results!$E$1:$F$1,0)),"")</f>
        <v/>
      </c>
      <c r="E25" s="6"/>
      <c r="F25" s="11"/>
      <c r="G25" s="11"/>
      <c r="H25" s="11"/>
      <c r="I25" s="11"/>
      <c r="J25" s="6"/>
      <c r="K25" s="11"/>
      <c r="L25" s="11"/>
      <c r="N25" s="4" t="str">
        <f t="array" ref="N25">iferror(transpose(INDIRECT(SUBSTITUTE($C25," ","_"))),"")</f>
        <v/>
      </c>
      <c r="Z25" s="4" t="str">
        <f t="array" ref="Z25">iferror(transpose(INDIRECT(SUBSTITUTE($D25," ","_"))),"")</f>
        <v/>
      </c>
    </row>
    <row r="26" ht="15.75" customHeight="1">
      <c r="A26" s="11"/>
      <c r="B26" s="11"/>
      <c r="C26" s="4" t="str">
        <f t="array" ref="C26">iferror(INDEX(Fixtures_Results!$E$2:$F$12,MATCH($A26,Fixtures_Results!$A$2:$A$12,0),MATCH("BatTeam"&amp;$B26,Fixtures_Results!$E$1:$F$1,0)),"")</f>
        <v/>
      </c>
      <c r="D26" s="4" t="str">
        <f t="array" ref="D26">iferror(INDEX(Fixtures_Results!$E$2:$F$12,MATCH($A26,Fixtures_Results!$A$2:$A$12,0),MATCH("BatTeam"&amp;2*1/$B26,Fixtures_Results!$E$1:$F$1,0)),"")</f>
        <v/>
      </c>
      <c r="E26" s="6"/>
      <c r="F26" s="11"/>
      <c r="G26" s="11"/>
      <c r="H26" s="11"/>
      <c r="I26" s="11"/>
      <c r="J26" s="6"/>
      <c r="K26" s="11"/>
      <c r="L26" s="11"/>
      <c r="N26" s="4" t="str">
        <f t="array" ref="N26">iferror(transpose(INDIRECT(SUBSTITUTE($C26," ","_"))),"")</f>
        <v/>
      </c>
      <c r="Z26" s="4" t="str">
        <f t="array" ref="Z26">iferror(transpose(INDIRECT(SUBSTITUTE($D26," ","_"))),"")</f>
        <v/>
      </c>
    </row>
    <row r="27" ht="15.75" customHeight="1">
      <c r="A27" s="11"/>
      <c r="B27" s="11"/>
      <c r="C27" s="4" t="str">
        <f t="array" ref="C27">iferror(INDEX(Fixtures_Results!$E$2:$F$12,MATCH($A27,Fixtures_Results!$A$2:$A$12,0),MATCH("BatTeam"&amp;$B27,Fixtures_Results!$E$1:$F$1,0)),"")</f>
        <v/>
      </c>
      <c r="D27" s="4" t="str">
        <f t="array" ref="D27">iferror(INDEX(Fixtures_Results!$E$2:$F$12,MATCH($A27,Fixtures_Results!$A$2:$A$12,0),MATCH("BatTeam"&amp;2*1/$B27,Fixtures_Results!$E$1:$F$1,0)),"")</f>
        <v/>
      </c>
      <c r="E27" s="6"/>
      <c r="F27" s="11"/>
      <c r="G27" s="11"/>
      <c r="H27" s="11"/>
      <c r="I27" s="11"/>
      <c r="J27" s="6"/>
      <c r="K27" s="11"/>
      <c r="L27" s="11"/>
      <c r="N27" s="4" t="str">
        <f t="array" ref="N27">iferror(transpose(INDIRECT(SUBSTITUTE($C27," ","_"))),"")</f>
        <v/>
      </c>
      <c r="Z27" s="4" t="str">
        <f t="array" ref="Z27">iferror(transpose(INDIRECT(SUBSTITUTE($D27," ","_"))),"")</f>
        <v/>
      </c>
    </row>
    <row r="28" ht="15.75" customHeight="1">
      <c r="A28" s="11"/>
      <c r="B28" s="11"/>
      <c r="C28" s="4" t="str">
        <f t="array" ref="C28">iferror(INDEX(Fixtures_Results!$E$2:$F$12,MATCH($A28,Fixtures_Results!$A$2:$A$12,0),MATCH("BatTeam"&amp;$B28,Fixtures_Results!$E$1:$F$1,0)),"")</f>
        <v/>
      </c>
      <c r="D28" s="4" t="str">
        <f t="array" ref="D28">iferror(INDEX(Fixtures_Results!$E$2:$F$12,MATCH($A28,Fixtures_Results!$A$2:$A$12,0),MATCH("BatTeam"&amp;2*1/$B28,Fixtures_Results!$E$1:$F$1,0)),"")</f>
        <v/>
      </c>
      <c r="E28" s="6"/>
      <c r="F28" s="11"/>
      <c r="G28" s="11"/>
      <c r="H28" s="11"/>
      <c r="I28" s="11"/>
      <c r="J28" s="6"/>
      <c r="K28" s="11"/>
      <c r="L28" s="11"/>
      <c r="N28" s="4" t="str">
        <f t="array" ref="N28">iferror(transpose(INDIRECT(SUBSTITUTE($C28," ","_"))),"")</f>
        <v/>
      </c>
      <c r="Z28" s="4" t="str">
        <f t="array" ref="Z28">iferror(transpose(INDIRECT(SUBSTITUTE($D28," ","_"))),"")</f>
        <v/>
      </c>
    </row>
    <row r="29" ht="15.75" customHeight="1">
      <c r="A29" s="11"/>
      <c r="B29" s="11"/>
      <c r="C29" s="4" t="str">
        <f t="array" ref="C29">iferror(INDEX(Fixtures_Results!$E$2:$F$12,MATCH($A29,Fixtures_Results!$A$2:$A$12,0),MATCH("BatTeam"&amp;$B29,Fixtures_Results!$E$1:$F$1,0)),"")</f>
        <v/>
      </c>
      <c r="D29" s="4" t="str">
        <f t="array" ref="D29">iferror(INDEX(Fixtures_Results!$E$2:$F$12,MATCH($A29,Fixtures_Results!$A$2:$A$12,0),MATCH("BatTeam"&amp;2*1/$B29,Fixtures_Results!$E$1:$F$1,0)),"")</f>
        <v/>
      </c>
      <c r="E29" s="6"/>
      <c r="F29" s="11"/>
      <c r="G29" s="11"/>
      <c r="H29" s="11"/>
      <c r="I29" s="11"/>
      <c r="J29" s="6"/>
      <c r="K29" s="11"/>
      <c r="L29" s="11"/>
      <c r="N29" s="4" t="str">
        <f t="array" ref="N29">iferror(transpose(INDIRECT(SUBSTITUTE($C29," ","_"))),"")</f>
        <v/>
      </c>
      <c r="Z29" s="4" t="str">
        <f t="array" ref="Z29">iferror(transpose(INDIRECT(SUBSTITUTE($D29," ","_"))),"")</f>
        <v/>
      </c>
    </row>
    <row r="30" ht="15.75" customHeight="1">
      <c r="A30" s="11"/>
      <c r="B30" s="11"/>
      <c r="C30" s="4" t="str">
        <f t="array" ref="C30">iferror(INDEX(Fixtures_Results!$E$2:$F$12,MATCH($A30,Fixtures_Results!$A$2:$A$12,0),MATCH("BatTeam"&amp;$B30,Fixtures_Results!$E$1:$F$1,0)),"")</f>
        <v/>
      </c>
      <c r="D30" s="4" t="str">
        <f t="array" ref="D30">iferror(INDEX(Fixtures_Results!$E$2:$F$12,MATCH($A30,Fixtures_Results!$A$2:$A$12,0),MATCH("BatTeam"&amp;2*1/$B30,Fixtures_Results!$E$1:$F$1,0)),"")</f>
        <v/>
      </c>
      <c r="E30" s="6"/>
      <c r="F30" s="11"/>
      <c r="G30" s="11"/>
      <c r="H30" s="11"/>
      <c r="I30" s="11"/>
      <c r="J30" s="6"/>
      <c r="K30" s="11"/>
      <c r="L30" s="11"/>
      <c r="N30" s="4" t="str">
        <f t="array" ref="N30">iferror(transpose(INDIRECT(SUBSTITUTE($C30," ","_"))),"")</f>
        <v/>
      </c>
      <c r="Z30" s="4" t="str">
        <f t="array" ref="Z30">iferror(transpose(INDIRECT(SUBSTITUTE($D30," ","_"))),"")</f>
        <v/>
      </c>
    </row>
    <row r="31" ht="15.75" customHeight="1">
      <c r="A31" s="11"/>
      <c r="B31" s="11"/>
      <c r="C31" s="4" t="str">
        <f t="array" ref="C31">iferror(INDEX(Fixtures_Results!$E$2:$F$12,MATCH($A31,Fixtures_Results!$A$2:$A$12,0),MATCH("BatTeam"&amp;$B31,Fixtures_Results!$E$1:$F$1,0)),"")</f>
        <v/>
      </c>
      <c r="D31" s="4" t="str">
        <f t="array" ref="D31">iferror(INDEX(Fixtures_Results!$E$2:$F$12,MATCH($A31,Fixtures_Results!$A$2:$A$12,0),MATCH("BatTeam"&amp;2*1/$B31,Fixtures_Results!$E$1:$F$1,0)),"")</f>
        <v/>
      </c>
      <c r="E31" s="6"/>
      <c r="F31" s="11"/>
      <c r="G31" s="11"/>
      <c r="H31" s="11"/>
      <c r="I31" s="11"/>
      <c r="J31" s="6"/>
      <c r="K31" s="11"/>
      <c r="L31" s="11"/>
      <c r="N31" s="4" t="str">
        <f t="array" ref="N31">iferror(transpose(INDIRECT(SUBSTITUTE($C31," ","_"))),"")</f>
        <v/>
      </c>
      <c r="Z31" s="4" t="str">
        <f t="array" ref="Z31">iferror(transpose(INDIRECT(SUBSTITUTE($D31," ","_"))),"")</f>
        <v/>
      </c>
    </row>
    <row r="32" ht="15.75" customHeight="1">
      <c r="A32" s="11"/>
      <c r="B32" s="11"/>
      <c r="C32" s="4" t="str">
        <f t="array" ref="C32">iferror(INDEX(Fixtures_Results!$E$2:$F$12,MATCH($A32,Fixtures_Results!$A$2:$A$12,0),MATCH("BatTeam"&amp;$B32,Fixtures_Results!$E$1:$F$1,0)),"")</f>
        <v/>
      </c>
      <c r="D32" s="4" t="str">
        <f t="array" ref="D32">iferror(INDEX(Fixtures_Results!$E$2:$F$12,MATCH($A32,Fixtures_Results!$A$2:$A$12,0),MATCH("BatTeam"&amp;2*1/$B32,Fixtures_Results!$E$1:$F$1,0)),"")</f>
        <v/>
      </c>
      <c r="E32" s="6"/>
      <c r="F32" s="11"/>
      <c r="G32" s="11"/>
      <c r="H32" s="11"/>
      <c r="I32" s="11"/>
      <c r="J32" s="6"/>
      <c r="K32" s="11"/>
      <c r="L32" s="11"/>
      <c r="N32" s="4" t="str">
        <f t="array" ref="N32">iferror(transpose(INDIRECT(SUBSTITUTE($C32," ","_"))),"")</f>
        <v/>
      </c>
      <c r="Z32" s="4" t="str">
        <f t="array" ref="Z32">iferror(transpose(INDIRECT(SUBSTITUTE($D32," ","_"))),"")</f>
        <v/>
      </c>
    </row>
    <row r="33" ht="15.75" customHeight="1">
      <c r="A33" s="11"/>
      <c r="B33" s="11"/>
      <c r="C33" s="4" t="str">
        <f t="array" ref="C33">iferror(INDEX(Fixtures_Results!$E$2:$F$12,MATCH($A33,Fixtures_Results!$A$2:$A$12,0),MATCH("BatTeam"&amp;$B33,Fixtures_Results!$E$1:$F$1,0)),"")</f>
        <v/>
      </c>
      <c r="D33" s="4" t="str">
        <f t="array" ref="D33">iferror(INDEX(Fixtures_Results!$E$2:$F$12,MATCH($A33,Fixtures_Results!$A$2:$A$12,0),MATCH("BatTeam"&amp;2*1/$B33,Fixtures_Results!$E$1:$F$1,0)),"")</f>
        <v/>
      </c>
      <c r="E33" s="6"/>
      <c r="F33" s="11"/>
      <c r="G33" s="11"/>
      <c r="H33" s="11"/>
      <c r="I33" s="11"/>
      <c r="J33" s="6"/>
      <c r="K33" s="11"/>
      <c r="L33" s="11"/>
      <c r="N33" s="4" t="str">
        <f t="array" ref="N33">iferror(transpose(INDIRECT(SUBSTITUTE($C33," ","_"))),"")</f>
        <v/>
      </c>
      <c r="Z33" s="4" t="str">
        <f t="array" ref="Z33">iferror(transpose(INDIRECT(SUBSTITUTE($D33," ","_"))),"")</f>
        <v/>
      </c>
    </row>
    <row r="34" ht="15.75" customHeight="1">
      <c r="A34" s="11"/>
      <c r="B34" s="11"/>
      <c r="C34" s="4" t="str">
        <f t="array" ref="C34">iferror(INDEX(Fixtures_Results!$E$2:$F$12,MATCH($A34,Fixtures_Results!$A$2:$A$12,0),MATCH("BatTeam"&amp;$B34,Fixtures_Results!$E$1:$F$1,0)),"")</f>
        <v/>
      </c>
      <c r="D34" s="4" t="str">
        <f t="array" ref="D34">iferror(INDEX(Fixtures_Results!$E$2:$F$12,MATCH($A34,Fixtures_Results!$A$2:$A$12,0),MATCH("BatTeam"&amp;2*1/$B34,Fixtures_Results!$E$1:$F$1,0)),"")</f>
        <v/>
      </c>
      <c r="E34" s="6"/>
      <c r="F34" s="11"/>
      <c r="G34" s="11"/>
      <c r="H34" s="11"/>
      <c r="I34" s="11"/>
      <c r="J34" s="6"/>
      <c r="K34" s="11"/>
      <c r="L34" s="11"/>
      <c r="N34" s="4" t="str">
        <f t="array" ref="N34">iferror(transpose(INDIRECT(SUBSTITUTE($C34," ","_"))),"")</f>
        <v/>
      </c>
      <c r="Z34" s="4" t="str">
        <f t="array" ref="Z34">iferror(transpose(INDIRECT(SUBSTITUTE($D34," ","_"))),"")</f>
        <v/>
      </c>
    </row>
    <row r="35" ht="15.75" customHeight="1">
      <c r="A35" s="11"/>
      <c r="B35" s="11"/>
      <c r="C35" s="4" t="str">
        <f t="array" ref="C35">iferror(INDEX(Fixtures_Results!$E$2:$F$12,MATCH($A35,Fixtures_Results!$A$2:$A$12,0),MATCH("BatTeam"&amp;$B35,Fixtures_Results!$E$1:$F$1,0)),"")</f>
        <v/>
      </c>
      <c r="D35" s="4" t="str">
        <f t="array" ref="D35">iferror(INDEX(Fixtures_Results!$E$2:$F$12,MATCH($A35,Fixtures_Results!$A$2:$A$12,0),MATCH("BatTeam"&amp;2*1/$B35,Fixtures_Results!$E$1:$F$1,0)),"")</f>
        <v/>
      </c>
      <c r="E35" s="6"/>
      <c r="F35" s="11"/>
      <c r="G35" s="11"/>
      <c r="H35" s="11"/>
      <c r="I35" s="11"/>
      <c r="J35" s="6"/>
      <c r="K35" s="11"/>
      <c r="L35" s="11"/>
      <c r="N35" s="4" t="str">
        <f t="array" ref="N35">iferror(transpose(INDIRECT(SUBSTITUTE($C35," ","_"))),"")</f>
        <v/>
      </c>
      <c r="Z35" s="4" t="str">
        <f t="array" ref="Z35">iferror(transpose(INDIRECT(SUBSTITUTE($D35," ","_"))),"")</f>
        <v/>
      </c>
    </row>
    <row r="36" ht="15.75" customHeight="1">
      <c r="A36" s="11"/>
      <c r="B36" s="11"/>
      <c r="C36" s="4" t="str">
        <f t="array" ref="C36">iferror(INDEX(Fixtures_Results!$E$2:$F$12,MATCH($A36,Fixtures_Results!$A$2:$A$12,0),MATCH("BatTeam"&amp;$B36,Fixtures_Results!$E$1:$F$1,0)),"")</f>
        <v/>
      </c>
      <c r="D36" s="4" t="str">
        <f t="array" ref="D36">iferror(INDEX(Fixtures_Results!$E$2:$F$12,MATCH($A36,Fixtures_Results!$A$2:$A$12,0),MATCH("BatTeam"&amp;2*1/$B36,Fixtures_Results!$E$1:$F$1,0)),"")</f>
        <v/>
      </c>
      <c r="E36" s="6"/>
      <c r="F36" s="11"/>
      <c r="G36" s="11"/>
      <c r="H36" s="11"/>
      <c r="I36" s="11"/>
      <c r="J36" s="6"/>
      <c r="K36" s="11"/>
      <c r="L36" s="11"/>
      <c r="N36" s="4" t="str">
        <f t="array" ref="N36">iferror(transpose(INDIRECT(SUBSTITUTE($C36," ","_"))),"")</f>
        <v/>
      </c>
      <c r="Z36" s="4" t="str">
        <f t="array" ref="Z36">iferror(transpose(INDIRECT(SUBSTITUTE($D36," ","_"))),"")</f>
        <v/>
      </c>
    </row>
    <row r="37" ht="15.75" customHeight="1">
      <c r="A37" s="11"/>
      <c r="B37" s="11"/>
      <c r="C37" s="4" t="str">
        <f t="array" ref="C37">iferror(INDEX(Fixtures_Results!$E$2:$F$12,MATCH($A37,Fixtures_Results!$A$2:$A$12,0),MATCH("BatTeam"&amp;$B37,Fixtures_Results!$E$1:$F$1,0)),"")</f>
        <v/>
      </c>
      <c r="D37" s="4" t="str">
        <f t="array" ref="D37">iferror(INDEX(Fixtures_Results!$E$2:$F$12,MATCH($A37,Fixtures_Results!$A$2:$A$12,0),MATCH("BatTeam"&amp;2*1/$B37,Fixtures_Results!$E$1:$F$1,0)),"")</f>
        <v/>
      </c>
      <c r="E37" s="6"/>
      <c r="F37" s="11"/>
      <c r="G37" s="11"/>
      <c r="H37" s="11"/>
      <c r="I37" s="11"/>
      <c r="J37" s="6"/>
      <c r="K37" s="11"/>
      <c r="L37" s="11"/>
      <c r="N37" s="4" t="str">
        <f t="array" ref="N37">iferror(transpose(INDIRECT(SUBSTITUTE($C37," ","_"))),"")</f>
        <v/>
      </c>
      <c r="Z37" s="4" t="str">
        <f t="array" ref="Z37">iferror(transpose(INDIRECT(SUBSTITUTE($D37," ","_"))),"")</f>
        <v/>
      </c>
    </row>
    <row r="38" ht="15.75" customHeight="1">
      <c r="A38" s="11"/>
      <c r="B38" s="11"/>
      <c r="C38" s="4" t="str">
        <f t="array" ref="C38">iferror(INDEX(Fixtures_Results!$E$2:$F$12,MATCH($A38,Fixtures_Results!$A$2:$A$12,0),MATCH("BatTeam"&amp;$B38,Fixtures_Results!$E$1:$F$1,0)),"")</f>
        <v/>
      </c>
      <c r="D38" s="4" t="str">
        <f t="array" ref="D38">iferror(INDEX(Fixtures_Results!$E$2:$F$12,MATCH($A38,Fixtures_Results!$A$2:$A$12,0),MATCH("BatTeam"&amp;2*1/$B38,Fixtures_Results!$E$1:$F$1,0)),"")</f>
        <v/>
      </c>
      <c r="E38" s="6"/>
      <c r="F38" s="11"/>
      <c r="G38" s="11"/>
      <c r="H38" s="11"/>
      <c r="I38" s="11"/>
      <c r="J38" s="6"/>
      <c r="K38" s="11"/>
      <c r="L38" s="11"/>
      <c r="N38" s="4" t="str">
        <f t="array" ref="N38">iferror(transpose(INDIRECT(SUBSTITUTE($C38," ","_"))),"")</f>
        <v/>
      </c>
      <c r="Z38" s="4" t="str">
        <f t="array" ref="Z38">iferror(transpose(INDIRECT(SUBSTITUTE($D38," ","_"))),"")</f>
        <v/>
      </c>
    </row>
    <row r="39" ht="15.75" customHeight="1">
      <c r="A39" s="11"/>
      <c r="B39" s="11"/>
      <c r="C39" s="4" t="str">
        <f t="array" ref="C39">iferror(INDEX(Fixtures_Results!$E$2:$F$12,MATCH($A39,Fixtures_Results!$A$2:$A$12,0),MATCH("BatTeam"&amp;$B39,Fixtures_Results!$E$1:$F$1,0)),"")</f>
        <v/>
      </c>
      <c r="D39" s="4" t="str">
        <f t="array" ref="D39">iferror(INDEX(Fixtures_Results!$E$2:$F$12,MATCH($A39,Fixtures_Results!$A$2:$A$12,0),MATCH("BatTeam"&amp;2*1/$B39,Fixtures_Results!$E$1:$F$1,0)),"")</f>
        <v/>
      </c>
      <c r="E39" s="6"/>
      <c r="F39" s="11"/>
      <c r="G39" s="11"/>
      <c r="H39" s="11"/>
      <c r="I39" s="11"/>
      <c r="J39" s="6"/>
      <c r="K39" s="11"/>
      <c r="L39" s="11"/>
      <c r="N39" s="4" t="str">
        <f t="array" ref="N39">iferror(transpose(INDIRECT(SUBSTITUTE($C39," ","_"))),"")</f>
        <v/>
      </c>
      <c r="Z39" s="4" t="str">
        <f t="array" ref="Z39">iferror(transpose(INDIRECT(SUBSTITUTE($D39," ","_"))),"")</f>
        <v/>
      </c>
    </row>
    <row r="40" ht="15.75" customHeight="1">
      <c r="A40" s="11"/>
      <c r="B40" s="11"/>
      <c r="C40" s="4" t="str">
        <f t="array" ref="C40">iferror(INDEX(Fixtures_Results!$E$2:$F$12,MATCH($A40,Fixtures_Results!$A$2:$A$12,0),MATCH("BatTeam"&amp;$B40,Fixtures_Results!$E$1:$F$1,0)),"")</f>
        <v/>
      </c>
      <c r="D40" s="4" t="str">
        <f t="array" ref="D40">iferror(INDEX(Fixtures_Results!$E$2:$F$12,MATCH($A40,Fixtures_Results!$A$2:$A$12,0),MATCH("BatTeam"&amp;2*1/$B40,Fixtures_Results!$E$1:$F$1,0)),"")</f>
        <v/>
      </c>
      <c r="E40" s="6"/>
      <c r="F40" s="11"/>
      <c r="G40" s="11"/>
      <c r="H40" s="11"/>
      <c r="I40" s="11"/>
      <c r="J40" s="6"/>
      <c r="K40" s="11"/>
      <c r="L40" s="11"/>
      <c r="N40" s="4" t="str">
        <f t="array" ref="N40">iferror(transpose(INDIRECT(SUBSTITUTE($C40," ","_"))),"")</f>
        <v/>
      </c>
      <c r="Z40" s="4" t="str">
        <f t="array" ref="Z40">iferror(transpose(INDIRECT(SUBSTITUTE($D40," ","_"))),"")</f>
        <v/>
      </c>
    </row>
    <row r="41" ht="15.75" customHeight="1">
      <c r="A41" s="11"/>
      <c r="B41" s="11"/>
      <c r="C41" s="4" t="str">
        <f t="array" ref="C41">iferror(INDEX(Fixtures_Results!$E$2:$F$12,MATCH($A41,Fixtures_Results!$A$2:$A$12,0),MATCH("BatTeam"&amp;$B41,Fixtures_Results!$E$1:$F$1,0)),"")</f>
        <v/>
      </c>
      <c r="D41" s="4" t="str">
        <f t="array" ref="D41">iferror(INDEX(Fixtures_Results!$E$2:$F$12,MATCH($A41,Fixtures_Results!$A$2:$A$12,0),MATCH("BatTeam"&amp;2*1/$B41,Fixtures_Results!$E$1:$F$1,0)),"")</f>
        <v/>
      </c>
      <c r="E41" s="6"/>
      <c r="F41" s="11"/>
      <c r="G41" s="11"/>
      <c r="H41" s="11"/>
      <c r="I41" s="11"/>
      <c r="J41" s="6"/>
      <c r="K41" s="11"/>
      <c r="L41" s="11"/>
      <c r="N41" s="4" t="str">
        <f t="array" ref="N41">iferror(transpose(INDIRECT(SUBSTITUTE($C41," ","_"))),"")</f>
        <v/>
      </c>
      <c r="Z41" s="4" t="str">
        <f t="array" ref="Z41">iferror(transpose(INDIRECT(SUBSTITUTE($D41," ","_"))),"")</f>
        <v/>
      </c>
    </row>
    <row r="42" ht="15.75" customHeight="1">
      <c r="A42" s="11"/>
      <c r="B42" s="11"/>
      <c r="C42" s="4" t="str">
        <f t="array" ref="C42">iferror(INDEX(Fixtures_Results!$E$2:$F$12,MATCH($A42,Fixtures_Results!$A$2:$A$12,0),MATCH("BatTeam"&amp;$B42,Fixtures_Results!$E$1:$F$1,0)),"")</f>
        <v/>
      </c>
      <c r="D42" s="4" t="str">
        <f t="array" ref="D42">iferror(INDEX(Fixtures_Results!$E$2:$F$12,MATCH($A42,Fixtures_Results!$A$2:$A$12,0),MATCH("BatTeam"&amp;2*1/$B42,Fixtures_Results!$E$1:$F$1,0)),"")</f>
        <v/>
      </c>
      <c r="E42" s="6"/>
      <c r="F42" s="11"/>
      <c r="G42" s="11"/>
      <c r="H42" s="11"/>
      <c r="I42" s="11"/>
      <c r="J42" s="6"/>
      <c r="K42" s="11"/>
      <c r="L42" s="11"/>
      <c r="N42" s="4" t="str">
        <f t="array" ref="N42">iferror(transpose(INDIRECT(SUBSTITUTE($C42," ","_"))),"")</f>
        <v/>
      </c>
      <c r="Z42" s="4" t="str">
        <f t="array" ref="Z42">iferror(transpose(INDIRECT(SUBSTITUTE($D42," ","_"))),"")</f>
        <v/>
      </c>
    </row>
    <row r="43" ht="15.75" customHeight="1">
      <c r="A43" s="11"/>
      <c r="B43" s="11"/>
      <c r="C43" s="4" t="str">
        <f t="array" ref="C43">iferror(INDEX(Fixtures_Results!$E$2:$F$12,MATCH($A43,Fixtures_Results!$A$2:$A$12,0),MATCH("BatTeam"&amp;$B43,Fixtures_Results!$E$1:$F$1,0)),"")</f>
        <v/>
      </c>
      <c r="D43" s="4" t="str">
        <f t="array" ref="D43">iferror(INDEX(Fixtures_Results!$E$2:$F$12,MATCH($A43,Fixtures_Results!$A$2:$A$12,0),MATCH("BatTeam"&amp;2*1/$B43,Fixtures_Results!$E$1:$F$1,0)),"")</f>
        <v/>
      </c>
      <c r="E43" s="6"/>
      <c r="F43" s="11"/>
      <c r="G43" s="11"/>
      <c r="H43" s="11"/>
      <c r="I43" s="11"/>
      <c r="J43" s="6"/>
      <c r="K43" s="11"/>
      <c r="L43" s="11"/>
      <c r="N43" s="4" t="str">
        <f t="array" ref="N43">iferror(transpose(INDIRECT(SUBSTITUTE($C43," ","_"))),"")</f>
        <v/>
      </c>
      <c r="Z43" s="4" t="str">
        <f t="array" ref="Z43">iferror(transpose(INDIRECT(SUBSTITUTE($D43," ","_"))),"")</f>
        <v/>
      </c>
    </row>
    <row r="44" ht="15.75" customHeight="1">
      <c r="A44" s="11"/>
      <c r="B44" s="11"/>
      <c r="C44" s="4" t="str">
        <f t="array" ref="C44">iferror(INDEX(Fixtures_Results!$E$2:$F$12,MATCH($A44,Fixtures_Results!$A$2:$A$12,0),MATCH("BatTeam"&amp;$B44,Fixtures_Results!$E$1:$F$1,0)),"")</f>
        <v/>
      </c>
      <c r="D44" s="4" t="str">
        <f t="array" ref="D44">iferror(INDEX(Fixtures_Results!$E$2:$F$12,MATCH($A44,Fixtures_Results!$A$2:$A$12,0),MATCH("BatTeam"&amp;2*1/$B44,Fixtures_Results!$E$1:$F$1,0)),"")</f>
        <v/>
      </c>
      <c r="E44" s="6"/>
      <c r="F44" s="11"/>
      <c r="G44" s="11"/>
      <c r="H44" s="11"/>
      <c r="I44" s="11"/>
      <c r="J44" s="6"/>
      <c r="K44" s="11"/>
      <c r="L44" s="11"/>
      <c r="N44" s="4" t="str">
        <f t="array" ref="N44">iferror(transpose(INDIRECT(SUBSTITUTE($C44," ","_"))),"")</f>
        <v/>
      </c>
      <c r="Z44" s="4" t="str">
        <f t="array" ref="Z44">iferror(transpose(INDIRECT(SUBSTITUTE($D44," ","_"))),"")</f>
        <v/>
      </c>
    </row>
    <row r="45" ht="15.75" customHeight="1">
      <c r="A45" s="11"/>
      <c r="B45" s="11"/>
      <c r="C45" s="4" t="str">
        <f t="array" ref="C45">iferror(INDEX(Fixtures_Results!$E$2:$F$12,MATCH($A45,Fixtures_Results!$A$2:$A$12,0),MATCH("BatTeam"&amp;$B45,Fixtures_Results!$E$1:$F$1,0)),"")</f>
        <v/>
      </c>
      <c r="D45" s="4" t="str">
        <f t="array" ref="D45">iferror(INDEX(Fixtures_Results!$E$2:$F$12,MATCH($A45,Fixtures_Results!$A$2:$A$12,0),MATCH("BatTeam"&amp;2*1/$B45,Fixtures_Results!$E$1:$F$1,0)),"")</f>
        <v/>
      </c>
      <c r="E45" s="6"/>
      <c r="F45" s="11"/>
      <c r="G45" s="11"/>
      <c r="H45" s="11"/>
      <c r="I45" s="11"/>
      <c r="J45" s="6"/>
      <c r="K45" s="11"/>
      <c r="L45" s="11"/>
      <c r="N45" s="4" t="str">
        <f t="array" ref="N45">iferror(transpose(INDIRECT(SUBSTITUTE($C45," ","_"))),"")</f>
        <v/>
      </c>
      <c r="Z45" s="4" t="str">
        <f t="array" ref="Z45">iferror(transpose(INDIRECT(SUBSTITUTE($D45," ","_"))),"")</f>
        <v/>
      </c>
    </row>
    <row r="46" ht="15.75" customHeight="1">
      <c r="A46" s="11"/>
      <c r="B46" s="11"/>
      <c r="C46" s="4" t="str">
        <f t="array" ref="C46">iferror(INDEX(Fixtures_Results!$E$2:$F$12,MATCH($A46,Fixtures_Results!$A$2:$A$12,0),MATCH("BatTeam"&amp;$B46,Fixtures_Results!$E$1:$F$1,0)),"")</f>
        <v/>
      </c>
      <c r="D46" s="4" t="str">
        <f t="array" ref="D46">iferror(INDEX(Fixtures_Results!$E$2:$F$12,MATCH($A46,Fixtures_Results!$A$2:$A$12,0),MATCH("BatTeam"&amp;2*1/$B46,Fixtures_Results!$E$1:$F$1,0)),"")</f>
        <v/>
      </c>
      <c r="E46" s="6"/>
      <c r="F46" s="11"/>
      <c r="G46" s="11"/>
      <c r="H46" s="11"/>
      <c r="I46" s="11"/>
      <c r="J46" s="6"/>
      <c r="K46" s="11"/>
      <c r="L46" s="11"/>
      <c r="N46" s="4" t="str">
        <f t="array" ref="N46">iferror(transpose(INDIRECT(SUBSTITUTE($C46," ","_"))),"")</f>
        <v/>
      </c>
      <c r="Z46" s="4" t="str">
        <f t="array" ref="Z46">iferror(transpose(INDIRECT(SUBSTITUTE($D46," ","_"))),"")</f>
        <v/>
      </c>
    </row>
    <row r="47" ht="15.75" customHeight="1">
      <c r="A47" s="11"/>
      <c r="B47" s="11"/>
      <c r="C47" s="4" t="str">
        <f t="array" ref="C47">iferror(INDEX(Fixtures_Results!$E$2:$F$12,MATCH($A47,Fixtures_Results!$A$2:$A$12,0),MATCH("BatTeam"&amp;$B47,Fixtures_Results!$E$1:$F$1,0)),"")</f>
        <v/>
      </c>
      <c r="D47" s="4" t="str">
        <f t="array" ref="D47">iferror(INDEX(Fixtures_Results!$E$2:$F$12,MATCH($A47,Fixtures_Results!$A$2:$A$12,0),MATCH("BatTeam"&amp;2*1/$B47,Fixtures_Results!$E$1:$F$1,0)),"")</f>
        <v/>
      </c>
      <c r="E47" s="6"/>
      <c r="F47" s="11"/>
      <c r="G47" s="11"/>
      <c r="H47" s="11"/>
      <c r="I47" s="11"/>
      <c r="J47" s="6"/>
      <c r="K47" s="11"/>
      <c r="L47" s="11"/>
      <c r="N47" s="4" t="str">
        <f t="array" ref="N47">iferror(transpose(INDIRECT(SUBSTITUTE($C47," ","_"))),"")</f>
        <v/>
      </c>
      <c r="Z47" s="4" t="str">
        <f t="array" ref="Z47">iferror(transpose(INDIRECT(SUBSTITUTE($D47," ","_"))),"")</f>
        <v/>
      </c>
    </row>
    <row r="48" ht="15.75" customHeight="1">
      <c r="A48" s="11"/>
      <c r="B48" s="11"/>
      <c r="C48" s="4" t="str">
        <f t="array" ref="C48">iferror(INDEX(Fixtures_Results!$E$2:$F$12,MATCH($A48,Fixtures_Results!$A$2:$A$12,0),MATCH("BatTeam"&amp;$B48,Fixtures_Results!$E$1:$F$1,0)),"")</f>
        <v/>
      </c>
      <c r="D48" s="4" t="str">
        <f t="array" ref="D48">iferror(INDEX(Fixtures_Results!$E$2:$F$12,MATCH($A48,Fixtures_Results!$A$2:$A$12,0),MATCH("BatTeam"&amp;2*1/$B48,Fixtures_Results!$E$1:$F$1,0)),"")</f>
        <v/>
      </c>
      <c r="E48" s="6"/>
      <c r="F48" s="11"/>
      <c r="G48" s="11"/>
      <c r="H48" s="11"/>
      <c r="I48" s="11"/>
      <c r="J48" s="6"/>
      <c r="K48" s="11"/>
      <c r="L48" s="11"/>
      <c r="N48" s="4" t="str">
        <f t="array" ref="N48">iferror(transpose(INDIRECT(SUBSTITUTE($C48," ","_"))),"")</f>
        <v/>
      </c>
      <c r="Z48" s="4" t="str">
        <f t="array" ref="Z48">iferror(transpose(INDIRECT(SUBSTITUTE($D48," ","_"))),"")</f>
        <v/>
      </c>
    </row>
    <row r="49" ht="15.75" customHeight="1">
      <c r="A49" s="11"/>
      <c r="B49" s="11"/>
      <c r="C49" s="4" t="str">
        <f t="array" ref="C49">iferror(INDEX(Fixtures_Results!$E$2:$F$12,MATCH($A49,Fixtures_Results!$A$2:$A$12,0),MATCH("BatTeam"&amp;$B49,Fixtures_Results!$E$1:$F$1,0)),"")</f>
        <v/>
      </c>
      <c r="D49" s="4" t="str">
        <f t="array" ref="D49">iferror(INDEX(Fixtures_Results!$E$2:$F$12,MATCH($A49,Fixtures_Results!$A$2:$A$12,0),MATCH("BatTeam"&amp;2*1/$B49,Fixtures_Results!$E$1:$F$1,0)),"")</f>
        <v/>
      </c>
      <c r="E49" s="6"/>
      <c r="F49" s="11"/>
      <c r="G49" s="11"/>
      <c r="H49" s="11"/>
      <c r="I49" s="11"/>
      <c r="J49" s="6"/>
      <c r="K49" s="11"/>
      <c r="L49" s="11"/>
      <c r="N49" s="4" t="str">
        <f t="array" ref="N49">iferror(transpose(INDIRECT(SUBSTITUTE($C49," ","_"))),"")</f>
        <v/>
      </c>
      <c r="Z49" s="4" t="str">
        <f t="array" ref="Z49">iferror(transpose(INDIRECT(SUBSTITUTE($D49," ","_"))),"")</f>
        <v/>
      </c>
    </row>
    <row r="50" ht="15.75" customHeight="1">
      <c r="A50" s="11"/>
      <c r="B50" s="11"/>
      <c r="C50" s="4" t="str">
        <f t="array" ref="C50">iferror(INDEX(Fixtures_Results!$E$2:$F$12,MATCH($A50,Fixtures_Results!$A$2:$A$12,0),MATCH("BatTeam"&amp;$B50,Fixtures_Results!$E$1:$F$1,0)),"")</f>
        <v/>
      </c>
      <c r="D50" s="4" t="str">
        <f t="array" ref="D50">iferror(INDEX(Fixtures_Results!$E$2:$F$12,MATCH($A50,Fixtures_Results!$A$2:$A$12,0),MATCH("BatTeam"&amp;2*1/$B50,Fixtures_Results!$E$1:$F$1,0)),"")</f>
        <v/>
      </c>
      <c r="E50" s="6"/>
      <c r="F50" s="11"/>
      <c r="G50" s="11"/>
      <c r="H50" s="11"/>
      <c r="I50" s="11"/>
      <c r="J50" s="6"/>
      <c r="K50" s="11"/>
      <c r="L50" s="11"/>
      <c r="N50" s="4" t="str">
        <f t="array" ref="N50">iferror(transpose(INDIRECT(SUBSTITUTE($C50," ","_"))),"")</f>
        <v/>
      </c>
      <c r="Z50" s="4" t="str">
        <f t="array" ref="Z50">iferror(transpose(INDIRECT(SUBSTITUTE($D50," ","_"))),"")</f>
        <v/>
      </c>
    </row>
    <row r="51" ht="15.75" customHeight="1">
      <c r="A51" s="11"/>
      <c r="B51" s="11"/>
      <c r="C51" s="4" t="str">
        <f t="array" ref="C51">iferror(INDEX(Fixtures_Results!$E$2:$F$12,MATCH($A51,Fixtures_Results!$A$2:$A$12,0),MATCH("BatTeam"&amp;$B51,Fixtures_Results!$E$1:$F$1,0)),"")</f>
        <v/>
      </c>
      <c r="D51" s="4" t="str">
        <f t="array" ref="D51">iferror(INDEX(Fixtures_Results!$E$2:$F$12,MATCH($A51,Fixtures_Results!$A$2:$A$12,0),MATCH("BatTeam"&amp;2*1/$B51,Fixtures_Results!$E$1:$F$1,0)),"")</f>
        <v/>
      </c>
      <c r="E51" s="6"/>
      <c r="F51" s="11"/>
      <c r="G51" s="11"/>
      <c r="H51" s="11"/>
      <c r="I51" s="11"/>
      <c r="J51" s="6"/>
      <c r="K51" s="11"/>
      <c r="L51" s="11"/>
      <c r="N51" s="4" t="str">
        <f t="array" ref="N51">iferror(transpose(INDIRECT(SUBSTITUTE($C51," ","_"))),"")</f>
        <v/>
      </c>
      <c r="Z51" s="4" t="str">
        <f t="array" ref="Z51">iferror(transpose(INDIRECT(SUBSTITUTE($D51," ","_"))),"")</f>
        <v/>
      </c>
    </row>
    <row r="52" ht="15.75" customHeight="1">
      <c r="A52" s="11"/>
      <c r="B52" s="11"/>
      <c r="C52" s="4" t="str">
        <f t="array" ref="C52">iferror(INDEX(Fixtures_Results!$E$2:$F$12,MATCH($A52,Fixtures_Results!$A$2:$A$12,0),MATCH("BatTeam"&amp;$B52,Fixtures_Results!$E$1:$F$1,0)),"")</f>
        <v/>
      </c>
      <c r="D52" s="4" t="str">
        <f t="array" ref="D52">iferror(INDEX(Fixtures_Results!$E$2:$F$12,MATCH($A52,Fixtures_Results!$A$2:$A$12,0),MATCH("BatTeam"&amp;2*1/$B52,Fixtures_Results!$E$1:$F$1,0)),"")</f>
        <v/>
      </c>
      <c r="E52" s="6"/>
      <c r="F52" s="11"/>
      <c r="G52" s="11"/>
      <c r="H52" s="11"/>
      <c r="I52" s="11"/>
      <c r="J52" s="6"/>
      <c r="K52" s="11"/>
      <c r="L52" s="11"/>
      <c r="N52" s="4" t="str">
        <f t="array" ref="N52">iferror(transpose(INDIRECT(SUBSTITUTE($C52," ","_"))),"")</f>
        <v/>
      </c>
      <c r="Z52" s="4" t="str">
        <f t="array" ref="Z52">iferror(transpose(INDIRECT(SUBSTITUTE($D52," ","_"))),"")</f>
        <v/>
      </c>
    </row>
    <row r="53" ht="15.75" customHeight="1">
      <c r="A53" s="11"/>
      <c r="B53" s="11"/>
      <c r="C53" s="4" t="str">
        <f t="array" ref="C53">iferror(INDEX(Fixtures_Results!$E$2:$F$12,MATCH($A53,Fixtures_Results!$A$2:$A$12,0),MATCH("BatTeam"&amp;$B53,Fixtures_Results!$E$1:$F$1,0)),"")</f>
        <v/>
      </c>
      <c r="D53" s="4" t="str">
        <f t="array" ref="D53">iferror(INDEX(Fixtures_Results!$E$2:$F$12,MATCH($A53,Fixtures_Results!$A$2:$A$12,0),MATCH("BatTeam"&amp;2*1/$B53,Fixtures_Results!$E$1:$F$1,0)),"")</f>
        <v/>
      </c>
      <c r="E53" s="6"/>
      <c r="F53" s="11"/>
      <c r="G53" s="11"/>
      <c r="H53" s="11"/>
      <c r="I53" s="11"/>
      <c r="J53" s="6"/>
      <c r="K53" s="11"/>
      <c r="L53" s="11"/>
      <c r="N53" s="4" t="str">
        <f t="array" ref="N53">iferror(transpose(INDIRECT(SUBSTITUTE($C53," ","_"))),"")</f>
        <v/>
      </c>
      <c r="Z53" s="4" t="str">
        <f t="array" ref="Z53">iferror(transpose(INDIRECT(SUBSTITUTE($D53," ","_"))),"")</f>
        <v/>
      </c>
    </row>
    <row r="54" ht="15.75" customHeight="1">
      <c r="A54" s="11"/>
      <c r="B54" s="11"/>
      <c r="C54" s="4" t="str">
        <f t="array" ref="C54">iferror(INDEX(Fixtures_Results!$E$2:$F$12,MATCH($A54,Fixtures_Results!$A$2:$A$12,0),MATCH("BatTeam"&amp;$B54,Fixtures_Results!$E$1:$F$1,0)),"")</f>
        <v/>
      </c>
      <c r="D54" s="4" t="str">
        <f t="array" ref="D54">iferror(INDEX(Fixtures_Results!$E$2:$F$12,MATCH($A54,Fixtures_Results!$A$2:$A$12,0),MATCH("BatTeam"&amp;2*1/$B54,Fixtures_Results!$E$1:$F$1,0)),"")</f>
        <v/>
      </c>
      <c r="E54" s="6"/>
      <c r="F54" s="11"/>
      <c r="G54" s="11"/>
      <c r="H54" s="11"/>
      <c r="I54" s="11"/>
      <c r="J54" s="6"/>
      <c r="K54" s="11"/>
      <c r="L54" s="11"/>
      <c r="N54" s="4" t="str">
        <f t="array" ref="N54">iferror(transpose(INDIRECT(SUBSTITUTE($C54," ","_"))),"")</f>
        <v/>
      </c>
      <c r="Z54" s="4" t="str">
        <f t="array" ref="Z54">iferror(transpose(INDIRECT(SUBSTITUTE($D54," ","_"))),"")</f>
        <v/>
      </c>
    </row>
    <row r="55" ht="15.75" customHeight="1">
      <c r="A55" s="11"/>
      <c r="B55" s="11"/>
      <c r="C55" s="4" t="str">
        <f t="array" ref="C55">iferror(INDEX(Fixtures_Results!$E$2:$F$12,MATCH($A55,Fixtures_Results!$A$2:$A$12,0),MATCH("BatTeam"&amp;$B55,Fixtures_Results!$E$1:$F$1,0)),"")</f>
        <v/>
      </c>
      <c r="D55" s="4" t="str">
        <f t="array" ref="D55">iferror(INDEX(Fixtures_Results!$E$2:$F$12,MATCH($A55,Fixtures_Results!$A$2:$A$12,0),MATCH("BatTeam"&amp;2*1/$B55,Fixtures_Results!$E$1:$F$1,0)),"")</f>
        <v/>
      </c>
      <c r="E55" s="6"/>
      <c r="F55" s="11"/>
      <c r="G55" s="11"/>
      <c r="H55" s="11"/>
      <c r="I55" s="11"/>
      <c r="J55" s="6"/>
      <c r="K55" s="11"/>
      <c r="L55" s="11"/>
      <c r="N55" s="4" t="str">
        <f t="array" ref="N55">iferror(transpose(INDIRECT(SUBSTITUTE($C55," ","_"))),"")</f>
        <v/>
      </c>
      <c r="Z55" s="4" t="str">
        <f t="array" ref="Z55">iferror(transpose(INDIRECT(SUBSTITUTE($D55," ","_"))),"")</f>
        <v/>
      </c>
    </row>
    <row r="56" ht="15.75" customHeight="1">
      <c r="A56" s="11"/>
      <c r="B56" s="11"/>
      <c r="C56" s="4" t="str">
        <f t="array" ref="C56">iferror(INDEX(Fixtures_Results!$E$2:$F$12,MATCH($A56,Fixtures_Results!$A$2:$A$12,0),MATCH("BatTeam"&amp;$B56,Fixtures_Results!$E$1:$F$1,0)),"")</f>
        <v/>
      </c>
      <c r="D56" s="4" t="str">
        <f t="array" ref="D56">iferror(INDEX(Fixtures_Results!$E$2:$F$12,MATCH($A56,Fixtures_Results!$A$2:$A$12,0),MATCH("BatTeam"&amp;2*1/$B56,Fixtures_Results!$E$1:$F$1,0)),"")</f>
        <v/>
      </c>
      <c r="E56" s="6"/>
      <c r="F56" s="11"/>
      <c r="G56" s="11"/>
      <c r="H56" s="11"/>
      <c r="I56" s="11"/>
      <c r="J56" s="6"/>
      <c r="K56" s="11"/>
      <c r="L56" s="11"/>
      <c r="N56" s="4" t="str">
        <f t="array" ref="N56">iferror(transpose(INDIRECT(SUBSTITUTE($C56," ","_"))),"")</f>
        <v/>
      </c>
      <c r="Z56" s="4" t="str">
        <f t="array" ref="Z56">iferror(transpose(INDIRECT(SUBSTITUTE($D56," ","_"))),"")</f>
        <v/>
      </c>
    </row>
    <row r="57" ht="15.75" customHeight="1">
      <c r="A57" s="11"/>
      <c r="B57" s="11"/>
      <c r="C57" s="4" t="str">
        <f t="array" ref="C57">iferror(INDEX(Fixtures_Results!$E$2:$F$12,MATCH($A57,Fixtures_Results!$A$2:$A$12,0),MATCH("BatTeam"&amp;$B57,Fixtures_Results!$E$1:$F$1,0)),"")</f>
        <v/>
      </c>
      <c r="D57" s="4" t="str">
        <f t="array" ref="D57">iferror(INDEX(Fixtures_Results!$E$2:$F$12,MATCH($A57,Fixtures_Results!$A$2:$A$12,0),MATCH("BatTeam"&amp;2*1/$B57,Fixtures_Results!$E$1:$F$1,0)),"")</f>
        <v/>
      </c>
      <c r="E57" s="6"/>
      <c r="F57" s="11"/>
      <c r="G57" s="11"/>
      <c r="H57" s="11"/>
      <c r="I57" s="11"/>
      <c r="J57" s="6"/>
      <c r="K57" s="11"/>
      <c r="L57" s="11"/>
      <c r="N57" s="4" t="str">
        <f t="array" ref="N57">iferror(transpose(INDIRECT(SUBSTITUTE($C57," ","_"))),"")</f>
        <v/>
      </c>
      <c r="Z57" s="4" t="str">
        <f t="array" ref="Z57">iferror(transpose(INDIRECT(SUBSTITUTE($D57," ","_"))),"")</f>
        <v/>
      </c>
    </row>
    <row r="58" ht="15.75" customHeight="1">
      <c r="A58" s="11"/>
      <c r="B58" s="11"/>
      <c r="C58" s="4" t="str">
        <f t="array" ref="C58">iferror(INDEX(Fixtures_Results!$E$2:$F$12,MATCH($A58,Fixtures_Results!$A$2:$A$12,0),MATCH("BatTeam"&amp;$B58,Fixtures_Results!$E$1:$F$1,0)),"")</f>
        <v/>
      </c>
      <c r="D58" s="4" t="str">
        <f t="array" ref="D58">iferror(INDEX(Fixtures_Results!$E$2:$F$12,MATCH($A58,Fixtures_Results!$A$2:$A$12,0),MATCH("BatTeam"&amp;2*1/$B58,Fixtures_Results!$E$1:$F$1,0)),"")</f>
        <v/>
      </c>
      <c r="E58" s="6"/>
      <c r="F58" s="11"/>
      <c r="G58" s="11"/>
      <c r="H58" s="11"/>
      <c r="I58" s="11"/>
      <c r="J58" s="6"/>
      <c r="K58" s="11"/>
      <c r="L58" s="11"/>
      <c r="N58" s="4" t="str">
        <f t="array" ref="N58">iferror(transpose(INDIRECT(SUBSTITUTE($C58," ","_"))),"")</f>
        <v/>
      </c>
      <c r="Z58" s="4" t="str">
        <f t="array" ref="Z58">iferror(transpose(INDIRECT(SUBSTITUTE($D58," ","_"))),"")</f>
        <v/>
      </c>
    </row>
    <row r="59" ht="15.75" customHeight="1">
      <c r="A59" s="11"/>
      <c r="B59" s="11"/>
      <c r="C59" s="4" t="str">
        <f t="array" ref="C59">iferror(INDEX(Fixtures_Results!$E$2:$F$12,MATCH($A59,Fixtures_Results!$A$2:$A$12,0),MATCH("BatTeam"&amp;$B59,Fixtures_Results!$E$1:$F$1,0)),"")</f>
        <v/>
      </c>
      <c r="D59" s="4" t="str">
        <f t="array" ref="D59">iferror(INDEX(Fixtures_Results!$E$2:$F$12,MATCH($A59,Fixtures_Results!$A$2:$A$12,0),MATCH("BatTeam"&amp;2*1/$B59,Fixtures_Results!$E$1:$F$1,0)),"")</f>
        <v/>
      </c>
      <c r="E59" s="6"/>
      <c r="F59" s="11"/>
      <c r="G59" s="11"/>
      <c r="H59" s="11"/>
      <c r="I59" s="11"/>
      <c r="J59" s="6"/>
      <c r="K59" s="11"/>
      <c r="L59" s="11"/>
      <c r="N59" s="4" t="str">
        <f t="array" ref="N59">iferror(transpose(INDIRECT(SUBSTITUTE($C59," ","_"))),"")</f>
        <v/>
      </c>
      <c r="Z59" s="4" t="str">
        <f t="array" ref="Z59">iferror(transpose(INDIRECT(SUBSTITUTE($D59," ","_"))),"")</f>
        <v/>
      </c>
    </row>
    <row r="60" ht="15.75" customHeight="1">
      <c r="A60" s="11"/>
      <c r="B60" s="11"/>
      <c r="C60" s="4" t="str">
        <f t="array" ref="C60">iferror(INDEX(Fixtures_Results!$E$2:$F$12,MATCH($A60,Fixtures_Results!$A$2:$A$12,0),MATCH("BatTeam"&amp;$B60,Fixtures_Results!$E$1:$F$1,0)),"")</f>
        <v/>
      </c>
      <c r="D60" s="4" t="str">
        <f t="array" ref="D60">iferror(INDEX(Fixtures_Results!$E$2:$F$12,MATCH($A60,Fixtures_Results!$A$2:$A$12,0),MATCH("BatTeam"&amp;2*1/$B60,Fixtures_Results!$E$1:$F$1,0)),"")</f>
        <v/>
      </c>
      <c r="E60" s="6"/>
      <c r="F60" s="11"/>
      <c r="G60" s="11"/>
      <c r="H60" s="11"/>
      <c r="I60" s="11"/>
      <c r="J60" s="6"/>
      <c r="K60" s="11"/>
      <c r="L60" s="11"/>
      <c r="N60" s="4" t="str">
        <f t="array" ref="N60">iferror(transpose(INDIRECT(SUBSTITUTE($C60," ","_"))),"")</f>
        <v/>
      </c>
      <c r="Z60" s="4" t="str">
        <f t="array" ref="Z60">iferror(transpose(INDIRECT(SUBSTITUTE($D60," ","_"))),"")</f>
        <v/>
      </c>
    </row>
    <row r="61" ht="15.75" customHeight="1">
      <c r="A61" s="11"/>
      <c r="B61" s="11"/>
      <c r="C61" s="4" t="str">
        <f t="array" ref="C61">iferror(INDEX(Fixtures_Results!$E$2:$F$12,MATCH($A61,Fixtures_Results!$A$2:$A$12,0),MATCH("BatTeam"&amp;$B61,Fixtures_Results!$E$1:$F$1,0)),"")</f>
        <v/>
      </c>
      <c r="D61" s="4" t="str">
        <f t="array" ref="D61">iferror(INDEX(Fixtures_Results!$E$2:$F$12,MATCH($A61,Fixtures_Results!$A$2:$A$12,0),MATCH("BatTeam"&amp;2*1/$B61,Fixtures_Results!$E$1:$F$1,0)),"")</f>
        <v/>
      </c>
      <c r="E61" s="6"/>
      <c r="F61" s="11"/>
      <c r="G61" s="11"/>
      <c r="H61" s="11"/>
      <c r="I61" s="11"/>
      <c r="J61" s="6"/>
      <c r="K61" s="11"/>
      <c r="L61" s="11"/>
      <c r="N61" s="4" t="str">
        <f t="array" ref="N61">iferror(transpose(INDIRECT(SUBSTITUTE($C61," ","_"))),"")</f>
        <v/>
      </c>
      <c r="Z61" s="4" t="str">
        <f t="array" ref="Z61">iferror(transpose(INDIRECT(SUBSTITUTE($D61," ","_"))),"")</f>
        <v/>
      </c>
    </row>
    <row r="62" ht="15.75" customHeight="1">
      <c r="A62" s="11"/>
      <c r="B62" s="11"/>
      <c r="C62" s="4" t="str">
        <f t="array" ref="C62">iferror(INDEX(Fixtures_Results!$E$2:$F$12,MATCH($A62,Fixtures_Results!$A$2:$A$12,0),MATCH("BatTeam"&amp;$B62,Fixtures_Results!$E$1:$F$1,0)),"")</f>
        <v/>
      </c>
      <c r="D62" s="4" t="str">
        <f t="array" ref="D62">iferror(INDEX(Fixtures_Results!$E$2:$F$12,MATCH($A62,Fixtures_Results!$A$2:$A$12,0),MATCH("BatTeam"&amp;2*1/$B62,Fixtures_Results!$E$1:$F$1,0)),"")</f>
        <v/>
      </c>
      <c r="E62" s="6"/>
      <c r="F62" s="11"/>
      <c r="G62" s="11"/>
      <c r="H62" s="11"/>
      <c r="I62" s="11"/>
      <c r="J62" s="6"/>
      <c r="K62" s="11"/>
      <c r="L62" s="11"/>
      <c r="N62" s="4" t="str">
        <f t="array" ref="N62">iferror(transpose(INDIRECT(SUBSTITUTE($C62," ","_"))),"")</f>
        <v/>
      </c>
      <c r="Z62" s="4" t="str">
        <f t="array" ref="Z62">iferror(transpose(INDIRECT(SUBSTITUTE($D62," ","_"))),"")</f>
        <v/>
      </c>
    </row>
    <row r="63" ht="15.75" customHeight="1">
      <c r="A63" s="11"/>
      <c r="B63" s="11"/>
      <c r="C63" s="4" t="str">
        <f t="array" ref="C63">iferror(INDEX(Fixtures_Results!$E$2:$F$12,MATCH($A63,Fixtures_Results!$A$2:$A$12,0),MATCH("BatTeam"&amp;$B63,Fixtures_Results!$E$1:$F$1,0)),"")</f>
        <v/>
      </c>
      <c r="D63" s="4" t="str">
        <f t="array" ref="D63">iferror(INDEX(Fixtures_Results!$E$2:$F$12,MATCH($A63,Fixtures_Results!$A$2:$A$12,0),MATCH("BatTeam"&amp;2*1/$B63,Fixtures_Results!$E$1:$F$1,0)),"")</f>
        <v/>
      </c>
      <c r="E63" s="6"/>
      <c r="F63" s="11"/>
      <c r="G63" s="11"/>
      <c r="H63" s="11"/>
      <c r="I63" s="11"/>
      <c r="J63" s="6"/>
      <c r="K63" s="11"/>
      <c r="L63" s="11"/>
      <c r="N63" s="4" t="str">
        <f t="array" ref="N63">iferror(transpose(INDIRECT(SUBSTITUTE($C63," ","_"))),"")</f>
        <v/>
      </c>
      <c r="Z63" s="4" t="str">
        <f t="array" ref="Z63">iferror(transpose(INDIRECT(SUBSTITUTE($D63," ","_"))),"")</f>
        <v/>
      </c>
    </row>
    <row r="64" ht="15.75" customHeight="1">
      <c r="A64" s="11"/>
      <c r="B64" s="11"/>
      <c r="C64" s="4" t="str">
        <f t="array" ref="C64">iferror(INDEX(Fixtures_Results!$E$2:$F$12,MATCH($A64,Fixtures_Results!$A$2:$A$12,0),MATCH("BatTeam"&amp;$B64,Fixtures_Results!$E$1:$F$1,0)),"")</f>
        <v/>
      </c>
      <c r="D64" s="4" t="str">
        <f t="array" ref="D64">iferror(INDEX(Fixtures_Results!$E$2:$F$12,MATCH($A64,Fixtures_Results!$A$2:$A$12,0),MATCH("BatTeam"&amp;2*1/$B64,Fixtures_Results!$E$1:$F$1,0)),"")</f>
        <v/>
      </c>
      <c r="E64" s="6"/>
      <c r="F64" s="11"/>
      <c r="G64" s="11"/>
      <c r="H64" s="11"/>
      <c r="I64" s="11"/>
      <c r="J64" s="6"/>
      <c r="K64" s="11"/>
      <c r="L64" s="11"/>
      <c r="N64" s="4" t="str">
        <f t="array" ref="N64">iferror(transpose(INDIRECT(SUBSTITUTE($C64," ","_"))),"")</f>
        <v/>
      </c>
      <c r="Z64" s="4" t="str">
        <f t="array" ref="Z64">iferror(transpose(INDIRECT(SUBSTITUTE($D64," ","_"))),"")</f>
        <v/>
      </c>
    </row>
    <row r="65" ht="15.75" customHeight="1">
      <c r="A65" s="11"/>
      <c r="B65" s="11"/>
      <c r="C65" s="4" t="str">
        <f t="array" ref="C65">iferror(INDEX(Fixtures_Results!$E$2:$F$12,MATCH($A65,Fixtures_Results!$A$2:$A$12,0),MATCH("BatTeam"&amp;$B65,Fixtures_Results!$E$1:$F$1,0)),"")</f>
        <v/>
      </c>
      <c r="D65" s="4" t="str">
        <f t="array" ref="D65">iferror(INDEX(Fixtures_Results!$E$2:$F$12,MATCH($A65,Fixtures_Results!$A$2:$A$12,0),MATCH("BatTeam"&amp;2*1/$B65,Fixtures_Results!$E$1:$F$1,0)),"")</f>
        <v/>
      </c>
      <c r="E65" s="6"/>
      <c r="F65" s="11"/>
      <c r="G65" s="11"/>
      <c r="H65" s="11"/>
      <c r="I65" s="11"/>
      <c r="J65" s="6"/>
      <c r="K65" s="11"/>
      <c r="L65" s="11"/>
      <c r="N65" s="4" t="str">
        <f t="array" ref="N65">iferror(transpose(INDIRECT(SUBSTITUTE($C65," ","_"))),"")</f>
        <v/>
      </c>
      <c r="Z65" s="4" t="str">
        <f t="array" ref="Z65">iferror(transpose(INDIRECT(SUBSTITUTE($D65," ","_"))),"")</f>
        <v/>
      </c>
    </row>
    <row r="66" ht="15.75" customHeight="1">
      <c r="A66" s="11"/>
      <c r="B66" s="11"/>
      <c r="C66" s="4" t="str">
        <f t="array" ref="C66">iferror(INDEX(Fixtures_Results!$E$2:$F$12,MATCH($A66,Fixtures_Results!$A$2:$A$12,0),MATCH("BatTeam"&amp;$B66,Fixtures_Results!$E$1:$F$1,0)),"")</f>
        <v/>
      </c>
      <c r="D66" s="4" t="str">
        <f t="array" ref="D66">iferror(INDEX(Fixtures_Results!$E$2:$F$12,MATCH($A66,Fixtures_Results!$A$2:$A$12,0),MATCH("BatTeam"&amp;2*1/$B66,Fixtures_Results!$E$1:$F$1,0)),"")</f>
        <v/>
      </c>
      <c r="E66" s="6"/>
      <c r="F66" s="11"/>
      <c r="G66" s="11"/>
      <c r="H66" s="11"/>
      <c r="I66" s="11"/>
      <c r="J66" s="6"/>
      <c r="K66" s="11"/>
      <c r="L66" s="11"/>
      <c r="N66" s="4" t="str">
        <f t="array" ref="N66">iferror(transpose(INDIRECT(SUBSTITUTE($C66," ","_"))),"")</f>
        <v/>
      </c>
      <c r="Z66" s="4" t="str">
        <f t="array" ref="Z66">iferror(transpose(INDIRECT(SUBSTITUTE($D66," ","_"))),"")</f>
        <v/>
      </c>
    </row>
    <row r="67" ht="15.75" customHeight="1">
      <c r="A67" s="11"/>
      <c r="B67" s="11"/>
      <c r="C67" s="4" t="str">
        <f t="array" ref="C67">iferror(INDEX(Fixtures_Results!$E$2:$F$12,MATCH($A67,Fixtures_Results!$A$2:$A$12,0),MATCH("BatTeam"&amp;$B67,Fixtures_Results!$E$1:$F$1,0)),"")</f>
        <v/>
      </c>
      <c r="D67" s="4" t="str">
        <f t="array" ref="D67">iferror(INDEX(Fixtures_Results!$E$2:$F$12,MATCH($A67,Fixtures_Results!$A$2:$A$12,0),MATCH("BatTeam"&amp;2*1/$B67,Fixtures_Results!$E$1:$F$1,0)),"")</f>
        <v/>
      </c>
      <c r="E67" s="6"/>
      <c r="F67" s="11"/>
      <c r="G67" s="11"/>
      <c r="H67" s="11"/>
      <c r="I67" s="11"/>
      <c r="J67" s="6"/>
      <c r="K67" s="11"/>
      <c r="L67" s="11"/>
      <c r="N67" s="4" t="str">
        <f t="array" ref="N67">iferror(transpose(INDIRECT(SUBSTITUTE($C67," ","_"))),"")</f>
        <v/>
      </c>
      <c r="Z67" s="4" t="str">
        <f t="array" ref="Z67">iferror(transpose(INDIRECT(SUBSTITUTE($D67," ","_"))),"")</f>
        <v/>
      </c>
    </row>
    <row r="68" ht="15.75" customHeight="1">
      <c r="A68" s="11"/>
      <c r="B68" s="11"/>
      <c r="C68" s="4" t="str">
        <f t="array" ref="C68">iferror(INDEX(Fixtures_Results!$E$2:$F$12,MATCH($A68,Fixtures_Results!$A$2:$A$12,0),MATCH("BatTeam"&amp;$B68,Fixtures_Results!$E$1:$F$1,0)),"")</f>
        <v/>
      </c>
      <c r="D68" s="4" t="str">
        <f t="array" ref="D68">iferror(INDEX(Fixtures_Results!$E$2:$F$12,MATCH($A68,Fixtures_Results!$A$2:$A$12,0),MATCH("BatTeam"&amp;2*1/$B68,Fixtures_Results!$E$1:$F$1,0)),"")</f>
        <v/>
      </c>
      <c r="E68" s="6"/>
      <c r="F68" s="11"/>
      <c r="G68" s="11"/>
      <c r="H68" s="11"/>
      <c r="I68" s="11"/>
      <c r="J68" s="6"/>
      <c r="K68" s="11"/>
      <c r="L68" s="11"/>
      <c r="N68" s="4" t="str">
        <f t="array" ref="N68">iferror(transpose(INDIRECT(SUBSTITUTE($C68," ","_"))),"")</f>
        <v/>
      </c>
      <c r="Z68" s="4" t="str">
        <f t="array" ref="Z68">iferror(transpose(INDIRECT(SUBSTITUTE($D68," ","_"))),"")</f>
        <v/>
      </c>
    </row>
    <row r="69" ht="15.75" customHeight="1">
      <c r="A69" s="11"/>
      <c r="B69" s="11"/>
      <c r="C69" s="4" t="str">
        <f t="array" ref="C69">iferror(INDEX(Fixtures_Results!$E$2:$F$12,MATCH($A69,Fixtures_Results!$A$2:$A$12,0),MATCH("BatTeam"&amp;$B69,Fixtures_Results!$E$1:$F$1,0)),"")</f>
        <v/>
      </c>
      <c r="D69" s="4" t="str">
        <f t="array" ref="D69">iferror(INDEX(Fixtures_Results!$E$2:$F$12,MATCH($A69,Fixtures_Results!$A$2:$A$12,0),MATCH("BatTeam"&amp;2*1/$B69,Fixtures_Results!$E$1:$F$1,0)),"")</f>
        <v/>
      </c>
      <c r="E69" s="6"/>
      <c r="F69" s="11"/>
      <c r="G69" s="11"/>
      <c r="H69" s="11"/>
      <c r="I69" s="11"/>
      <c r="J69" s="6"/>
      <c r="K69" s="11"/>
      <c r="L69" s="11"/>
      <c r="N69" s="4" t="str">
        <f t="array" ref="N69">iferror(transpose(INDIRECT(SUBSTITUTE($C69," ","_"))),"")</f>
        <v/>
      </c>
      <c r="Z69" s="4" t="str">
        <f t="array" ref="Z69">iferror(transpose(INDIRECT(SUBSTITUTE($D69," ","_"))),"")</f>
        <v/>
      </c>
    </row>
    <row r="70" ht="15.75" customHeight="1">
      <c r="A70" s="11"/>
      <c r="B70" s="11"/>
      <c r="C70" s="4" t="str">
        <f t="array" ref="C70">iferror(INDEX(Fixtures_Results!$E$2:$F$12,MATCH($A70,Fixtures_Results!$A$2:$A$12,0),MATCH("BatTeam"&amp;$B70,Fixtures_Results!$E$1:$F$1,0)),"")</f>
        <v/>
      </c>
      <c r="D70" s="4" t="str">
        <f t="array" ref="D70">iferror(INDEX(Fixtures_Results!$E$2:$F$12,MATCH($A70,Fixtures_Results!$A$2:$A$12,0),MATCH("BatTeam"&amp;2*1/$B70,Fixtures_Results!$E$1:$F$1,0)),"")</f>
        <v/>
      </c>
      <c r="E70" s="6"/>
      <c r="F70" s="11"/>
      <c r="G70" s="11"/>
      <c r="H70" s="11"/>
      <c r="I70" s="11"/>
      <c r="J70" s="6"/>
      <c r="K70" s="11"/>
      <c r="L70" s="11"/>
      <c r="N70" s="4" t="str">
        <f t="array" ref="N70">iferror(transpose(INDIRECT(SUBSTITUTE($C70," ","_"))),"")</f>
        <v/>
      </c>
      <c r="Z70" s="4" t="str">
        <f t="array" ref="Z70">iferror(transpose(INDIRECT(SUBSTITUTE($D70," ","_"))),"")</f>
        <v/>
      </c>
    </row>
    <row r="71" ht="15.75" customHeight="1">
      <c r="A71" s="11"/>
      <c r="B71" s="11"/>
      <c r="C71" s="4" t="str">
        <f t="array" ref="C71">iferror(INDEX(Fixtures_Results!$E$2:$F$12,MATCH($A71,Fixtures_Results!$A$2:$A$12,0),MATCH("BatTeam"&amp;$B71,Fixtures_Results!$E$1:$F$1,0)),"")</f>
        <v/>
      </c>
      <c r="D71" s="4" t="str">
        <f t="array" ref="D71">iferror(INDEX(Fixtures_Results!$E$2:$F$12,MATCH($A71,Fixtures_Results!$A$2:$A$12,0),MATCH("BatTeam"&amp;2*1/$B71,Fixtures_Results!$E$1:$F$1,0)),"")</f>
        <v/>
      </c>
      <c r="E71" s="6"/>
      <c r="F71" s="11"/>
      <c r="G71" s="11"/>
      <c r="H71" s="11"/>
      <c r="I71" s="11"/>
      <c r="J71" s="6"/>
      <c r="K71" s="11"/>
      <c r="L71" s="11"/>
      <c r="N71" s="4" t="str">
        <f t="array" ref="N71">iferror(transpose(INDIRECT(SUBSTITUTE($C71," ","_"))),"")</f>
        <v/>
      </c>
      <c r="Z71" s="4" t="str">
        <f t="array" ref="Z71">iferror(transpose(INDIRECT(SUBSTITUTE($D71," ","_"))),"")</f>
        <v/>
      </c>
    </row>
    <row r="72" ht="15.75" customHeight="1">
      <c r="A72" s="11"/>
      <c r="B72" s="11"/>
      <c r="C72" s="4" t="str">
        <f t="array" ref="C72">iferror(INDEX(Fixtures_Results!$E$2:$F$12,MATCH($A72,Fixtures_Results!$A$2:$A$12,0),MATCH("BatTeam"&amp;$B72,Fixtures_Results!$E$1:$F$1,0)),"")</f>
        <v/>
      </c>
      <c r="D72" s="4" t="str">
        <f t="array" ref="D72">iferror(INDEX(Fixtures_Results!$E$2:$F$12,MATCH($A72,Fixtures_Results!$A$2:$A$12,0),MATCH("BatTeam"&amp;2*1/$B72,Fixtures_Results!$E$1:$F$1,0)),"")</f>
        <v/>
      </c>
      <c r="E72" s="6"/>
      <c r="F72" s="11"/>
      <c r="G72" s="11"/>
      <c r="H72" s="11"/>
      <c r="I72" s="11"/>
      <c r="J72" s="6"/>
      <c r="K72" s="11"/>
      <c r="L72" s="11"/>
      <c r="N72" s="4" t="str">
        <f t="array" ref="N72">iferror(transpose(INDIRECT(SUBSTITUTE($C72," ","_"))),"")</f>
        <v/>
      </c>
      <c r="Z72" s="4" t="str">
        <f t="array" ref="Z72">iferror(transpose(INDIRECT(SUBSTITUTE($D72," ","_"))),"")</f>
        <v/>
      </c>
    </row>
    <row r="73" ht="15.75" customHeight="1">
      <c r="A73" s="11"/>
      <c r="B73" s="11"/>
      <c r="C73" s="4" t="str">
        <f t="array" ref="C73">iferror(INDEX(Fixtures_Results!$E$2:$F$12,MATCH($A73,Fixtures_Results!$A$2:$A$12,0),MATCH("BatTeam"&amp;$B73,Fixtures_Results!$E$1:$F$1,0)),"")</f>
        <v/>
      </c>
      <c r="D73" s="4" t="str">
        <f t="array" ref="D73">iferror(INDEX(Fixtures_Results!$E$2:$F$12,MATCH($A73,Fixtures_Results!$A$2:$A$12,0),MATCH("BatTeam"&amp;2*1/$B73,Fixtures_Results!$E$1:$F$1,0)),"")</f>
        <v/>
      </c>
      <c r="E73" s="6"/>
      <c r="F73" s="11"/>
      <c r="G73" s="11"/>
      <c r="H73" s="11"/>
      <c r="I73" s="11"/>
      <c r="J73" s="6"/>
      <c r="K73" s="11"/>
      <c r="L73" s="11"/>
      <c r="N73" s="4" t="str">
        <f t="array" ref="N73">iferror(transpose(INDIRECT(SUBSTITUTE($C73," ","_"))),"")</f>
        <v/>
      </c>
      <c r="Z73" s="4" t="str">
        <f t="array" ref="Z73">iferror(transpose(INDIRECT(SUBSTITUTE($D73," ","_"))),"")</f>
        <v/>
      </c>
    </row>
    <row r="74" ht="15.75" customHeight="1">
      <c r="A74" s="11"/>
      <c r="B74" s="11"/>
      <c r="C74" s="4" t="str">
        <f t="array" ref="C74">iferror(INDEX(Fixtures_Results!$E$2:$F$12,MATCH($A74,Fixtures_Results!$A$2:$A$12,0),MATCH("BatTeam"&amp;$B74,Fixtures_Results!$E$1:$F$1,0)),"")</f>
        <v/>
      </c>
      <c r="D74" s="4" t="str">
        <f t="array" ref="D74">iferror(INDEX(Fixtures_Results!$E$2:$F$12,MATCH($A74,Fixtures_Results!$A$2:$A$12,0),MATCH("BatTeam"&amp;2*1/$B74,Fixtures_Results!$E$1:$F$1,0)),"")</f>
        <v/>
      </c>
      <c r="E74" s="6"/>
      <c r="F74" s="11"/>
      <c r="G74" s="11"/>
      <c r="H74" s="11"/>
      <c r="I74" s="11"/>
      <c r="J74" s="6"/>
      <c r="K74" s="11"/>
      <c r="L74" s="11"/>
      <c r="N74" s="4" t="str">
        <f t="array" ref="N74">iferror(transpose(INDIRECT(SUBSTITUTE($C74," ","_"))),"")</f>
        <v/>
      </c>
      <c r="Z74" s="4" t="str">
        <f t="array" ref="Z74">iferror(transpose(INDIRECT(SUBSTITUTE($D74," ","_"))),"")</f>
        <v/>
      </c>
    </row>
    <row r="75" ht="15.75" customHeight="1">
      <c r="A75" s="11"/>
      <c r="B75" s="11"/>
      <c r="C75" s="4" t="str">
        <f t="array" ref="C75">iferror(INDEX(Fixtures_Results!$E$2:$F$12,MATCH($A75,Fixtures_Results!$A$2:$A$12,0),MATCH("BatTeam"&amp;$B75,Fixtures_Results!$E$1:$F$1,0)),"")</f>
        <v/>
      </c>
      <c r="D75" s="4" t="str">
        <f t="array" ref="D75">iferror(INDEX(Fixtures_Results!$E$2:$F$12,MATCH($A75,Fixtures_Results!$A$2:$A$12,0),MATCH("BatTeam"&amp;2*1/$B75,Fixtures_Results!$E$1:$F$1,0)),"")</f>
        <v/>
      </c>
      <c r="E75" s="6"/>
      <c r="F75" s="11"/>
      <c r="G75" s="11"/>
      <c r="H75" s="11"/>
      <c r="I75" s="11"/>
      <c r="J75" s="6"/>
      <c r="K75" s="11"/>
      <c r="L75" s="11"/>
      <c r="N75" s="4" t="str">
        <f t="array" ref="N75">iferror(transpose(INDIRECT(SUBSTITUTE($C75," ","_"))),"")</f>
        <v/>
      </c>
      <c r="Z75" s="4" t="str">
        <f t="array" ref="Z75">iferror(transpose(INDIRECT(SUBSTITUTE($D75," ","_"))),"")</f>
        <v/>
      </c>
    </row>
    <row r="76" ht="15.75" customHeight="1">
      <c r="A76" s="11"/>
      <c r="B76" s="11"/>
      <c r="C76" s="4" t="str">
        <f t="array" ref="C76">iferror(INDEX(Fixtures_Results!$E$2:$F$12,MATCH($A76,Fixtures_Results!$A$2:$A$12,0),MATCH("BatTeam"&amp;$B76,Fixtures_Results!$E$1:$F$1,0)),"")</f>
        <v/>
      </c>
      <c r="D76" s="4" t="str">
        <f t="array" ref="D76">iferror(INDEX(Fixtures_Results!$E$2:$F$12,MATCH($A76,Fixtures_Results!$A$2:$A$12,0),MATCH("BatTeam"&amp;2*1/$B76,Fixtures_Results!$E$1:$F$1,0)),"")</f>
        <v/>
      </c>
      <c r="E76" s="6"/>
      <c r="F76" s="11"/>
      <c r="G76" s="11"/>
      <c r="H76" s="11"/>
      <c r="I76" s="11"/>
      <c r="J76" s="6"/>
      <c r="K76" s="11"/>
      <c r="L76" s="11"/>
      <c r="N76" s="4" t="str">
        <f t="array" ref="N76">iferror(transpose(INDIRECT(SUBSTITUTE($C76," ","_"))),"")</f>
        <v/>
      </c>
      <c r="Z76" s="4" t="str">
        <f t="array" ref="Z76">iferror(transpose(INDIRECT(SUBSTITUTE($D76," ","_"))),"")</f>
        <v/>
      </c>
    </row>
    <row r="77" ht="15.75" customHeight="1">
      <c r="A77" s="11"/>
      <c r="B77" s="11"/>
      <c r="C77" s="4" t="str">
        <f t="array" ref="C77">iferror(INDEX(Fixtures_Results!$E$2:$F$12,MATCH($A77,Fixtures_Results!$A$2:$A$12,0),MATCH("BatTeam"&amp;$B77,Fixtures_Results!$E$1:$F$1,0)),"")</f>
        <v/>
      </c>
      <c r="D77" s="4" t="str">
        <f t="array" ref="D77">iferror(INDEX(Fixtures_Results!$E$2:$F$12,MATCH($A77,Fixtures_Results!$A$2:$A$12,0),MATCH("BatTeam"&amp;2*1/$B77,Fixtures_Results!$E$1:$F$1,0)),"")</f>
        <v/>
      </c>
      <c r="E77" s="6"/>
      <c r="F77" s="11"/>
      <c r="G77" s="11"/>
      <c r="H77" s="11"/>
      <c r="I77" s="11"/>
      <c r="J77" s="6"/>
      <c r="K77" s="11"/>
      <c r="L77" s="11"/>
      <c r="N77" s="4" t="str">
        <f t="array" ref="N77">iferror(transpose(INDIRECT(SUBSTITUTE($C77," ","_"))),"")</f>
        <v/>
      </c>
      <c r="Z77" s="4" t="str">
        <f t="array" ref="Z77">iferror(transpose(INDIRECT(SUBSTITUTE($D77," ","_"))),"")</f>
        <v/>
      </c>
    </row>
    <row r="78" ht="15.75" customHeight="1">
      <c r="A78" s="11"/>
      <c r="B78" s="11"/>
      <c r="C78" s="4" t="str">
        <f t="array" ref="C78">iferror(INDEX(Fixtures_Results!$E$2:$F$12,MATCH($A78,Fixtures_Results!$A$2:$A$12,0),MATCH("BatTeam"&amp;$B78,Fixtures_Results!$E$1:$F$1,0)),"")</f>
        <v/>
      </c>
      <c r="D78" s="4" t="str">
        <f t="array" ref="D78">iferror(INDEX(Fixtures_Results!$E$2:$F$12,MATCH($A78,Fixtures_Results!$A$2:$A$12,0),MATCH("BatTeam"&amp;2*1/$B78,Fixtures_Results!$E$1:$F$1,0)),"")</f>
        <v/>
      </c>
      <c r="E78" s="6"/>
      <c r="F78" s="11"/>
      <c r="G78" s="11"/>
      <c r="H78" s="11"/>
      <c r="I78" s="11"/>
      <c r="J78" s="6"/>
      <c r="K78" s="11"/>
      <c r="L78" s="11"/>
      <c r="N78" s="4" t="str">
        <f t="array" ref="N78">iferror(transpose(INDIRECT(SUBSTITUTE($C78," ","_"))),"")</f>
        <v/>
      </c>
      <c r="Z78" s="4" t="str">
        <f t="array" ref="Z78">iferror(transpose(INDIRECT(SUBSTITUTE($D78," ","_"))),"")</f>
        <v/>
      </c>
    </row>
    <row r="79" ht="15.75" customHeight="1">
      <c r="A79" s="11"/>
      <c r="B79" s="11"/>
      <c r="C79" s="4" t="str">
        <f t="array" ref="C79">iferror(INDEX(Fixtures_Results!$E$2:$F$12,MATCH($A79,Fixtures_Results!$A$2:$A$12,0),MATCH("BatTeam"&amp;$B79,Fixtures_Results!$E$1:$F$1,0)),"")</f>
        <v/>
      </c>
      <c r="D79" s="4" t="str">
        <f t="array" ref="D79">iferror(INDEX(Fixtures_Results!$E$2:$F$12,MATCH($A79,Fixtures_Results!$A$2:$A$12,0),MATCH("BatTeam"&amp;2*1/$B79,Fixtures_Results!$E$1:$F$1,0)),"")</f>
        <v/>
      </c>
      <c r="E79" s="6"/>
      <c r="F79" s="11"/>
      <c r="G79" s="11"/>
      <c r="H79" s="11"/>
      <c r="I79" s="11"/>
      <c r="J79" s="6"/>
      <c r="K79" s="11"/>
      <c r="L79" s="11"/>
      <c r="N79" s="4" t="str">
        <f t="array" ref="N79">iferror(transpose(INDIRECT(SUBSTITUTE($C79," ","_"))),"")</f>
        <v/>
      </c>
      <c r="Z79" s="4" t="str">
        <f t="array" ref="Z79">iferror(transpose(INDIRECT(SUBSTITUTE($D79," ","_"))),"")</f>
        <v/>
      </c>
    </row>
    <row r="80" ht="15.75" customHeight="1">
      <c r="A80" s="11"/>
      <c r="B80" s="11"/>
      <c r="C80" s="4" t="str">
        <f t="array" ref="C80">iferror(INDEX(Fixtures_Results!$E$2:$F$12,MATCH($A80,Fixtures_Results!$A$2:$A$12,0),MATCH("BatTeam"&amp;$B80,Fixtures_Results!$E$1:$F$1,0)),"")</f>
        <v/>
      </c>
      <c r="D80" s="4" t="str">
        <f t="array" ref="D80">iferror(INDEX(Fixtures_Results!$E$2:$F$12,MATCH($A80,Fixtures_Results!$A$2:$A$12,0),MATCH("BatTeam"&amp;2*1/$B80,Fixtures_Results!$E$1:$F$1,0)),"")</f>
        <v/>
      </c>
      <c r="E80" s="6"/>
      <c r="F80" s="11"/>
      <c r="G80" s="11"/>
      <c r="H80" s="11"/>
      <c r="I80" s="11"/>
      <c r="J80" s="6"/>
      <c r="K80" s="11"/>
      <c r="L80" s="11"/>
      <c r="N80" s="4" t="str">
        <f t="array" ref="N80">iferror(transpose(INDIRECT(SUBSTITUTE($C80," ","_"))),"")</f>
        <v/>
      </c>
      <c r="Z80" s="4" t="str">
        <f t="array" ref="Z80">iferror(transpose(INDIRECT(SUBSTITUTE($D80," ","_"))),"")</f>
        <v/>
      </c>
    </row>
    <row r="81" ht="15.75" customHeight="1">
      <c r="A81" s="11"/>
      <c r="B81" s="11"/>
      <c r="C81" s="4" t="str">
        <f t="array" ref="C81">iferror(INDEX(Fixtures_Results!$E$2:$F$12,MATCH($A81,Fixtures_Results!$A$2:$A$12,0),MATCH("BatTeam"&amp;$B81,Fixtures_Results!$E$1:$F$1,0)),"")</f>
        <v/>
      </c>
      <c r="D81" s="4" t="str">
        <f t="array" ref="D81">iferror(INDEX(Fixtures_Results!$E$2:$F$12,MATCH($A81,Fixtures_Results!$A$2:$A$12,0),MATCH("BatTeam"&amp;2*1/$B81,Fixtures_Results!$E$1:$F$1,0)),"")</f>
        <v/>
      </c>
      <c r="E81" s="6"/>
      <c r="F81" s="11"/>
      <c r="G81" s="11"/>
      <c r="H81" s="11"/>
      <c r="I81" s="11"/>
      <c r="J81" s="6"/>
      <c r="K81" s="11"/>
      <c r="L81" s="11"/>
      <c r="N81" s="4" t="str">
        <f t="array" ref="N81">iferror(transpose(INDIRECT(SUBSTITUTE($C81," ","_"))),"")</f>
        <v/>
      </c>
      <c r="Z81" s="4" t="str">
        <f t="array" ref="Z81">iferror(transpose(INDIRECT(SUBSTITUTE($D81," ","_"))),"")</f>
        <v/>
      </c>
    </row>
    <row r="82" ht="15.75" customHeight="1">
      <c r="A82" s="11"/>
      <c r="B82" s="11"/>
      <c r="C82" s="4" t="str">
        <f t="array" ref="C82">iferror(INDEX(Fixtures_Results!$E$2:$F$12,MATCH($A82,Fixtures_Results!$A$2:$A$12,0),MATCH("BatTeam"&amp;$B82,Fixtures_Results!$E$1:$F$1,0)),"")</f>
        <v/>
      </c>
      <c r="D82" s="4" t="str">
        <f t="array" ref="D82">iferror(INDEX(Fixtures_Results!$E$2:$F$12,MATCH($A82,Fixtures_Results!$A$2:$A$12,0),MATCH("BatTeam"&amp;2*1/$B82,Fixtures_Results!$E$1:$F$1,0)),"")</f>
        <v/>
      </c>
      <c r="E82" s="6"/>
      <c r="F82" s="11"/>
      <c r="G82" s="11"/>
      <c r="H82" s="11"/>
      <c r="I82" s="11"/>
      <c r="J82" s="6"/>
      <c r="K82" s="11"/>
      <c r="L82" s="11"/>
      <c r="N82" s="4" t="str">
        <f t="array" ref="N82">iferror(transpose(INDIRECT(SUBSTITUTE($C82," ","_"))),"")</f>
        <v/>
      </c>
      <c r="Z82" s="4" t="str">
        <f t="array" ref="Z82">iferror(transpose(INDIRECT(SUBSTITUTE($D82," ","_"))),"")</f>
        <v/>
      </c>
    </row>
    <row r="83" ht="15.75" customHeight="1">
      <c r="A83" s="11"/>
      <c r="B83" s="11"/>
      <c r="C83" s="4" t="str">
        <f t="array" ref="C83">iferror(INDEX(Fixtures_Results!$E$2:$F$12,MATCH($A83,Fixtures_Results!$A$2:$A$12,0),MATCH("BatTeam"&amp;$B83,Fixtures_Results!$E$1:$F$1,0)),"")</f>
        <v/>
      </c>
      <c r="D83" s="4" t="str">
        <f t="array" ref="D83">iferror(INDEX(Fixtures_Results!$E$2:$F$12,MATCH($A83,Fixtures_Results!$A$2:$A$12,0),MATCH("BatTeam"&amp;2*1/$B83,Fixtures_Results!$E$1:$F$1,0)),"")</f>
        <v/>
      </c>
      <c r="E83" s="6"/>
      <c r="F83" s="11"/>
      <c r="G83" s="11"/>
      <c r="H83" s="11"/>
      <c r="I83" s="11"/>
      <c r="J83" s="6"/>
      <c r="K83" s="11"/>
      <c r="L83" s="11"/>
      <c r="N83" s="4" t="str">
        <f t="array" ref="N83">iferror(transpose(INDIRECT(SUBSTITUTE($C83," ","_"))),"")</f>
        <v/>
      </c>
      <c r="Z83" s="4" t="str">
        <f t="array" ref="Z83">iferror(transpose(INDIRECT(SUBSTITUTE($D83," ","_"))),"")</f>
        <v/>
      </c>
    </row>
    <row r="84" ht="15.75" customHeight="1">
      <c r="A84" s="11"/>
      <c r="B84" s="11"/>
      <c r="C84" s="4" t="str">
        <f t="array" ref="C84">iferror(INDEX(Fixtures_Results!$E$2:$F$12,MATCH($A84,Fixtures_Results!$A$2:$A$12,0),MATCH("BatTeam"&amp;$B84,Fixtures_Results!$E$1:$F$1,0)),"")</f>
        <v/>
      </c>
      <c r="D84" s="4" t="str">
        <f t="array" ref="D84">iferror(INDEX(Fixtures_Results!$E$2:$F$12,MATCH($A84,Fixtures_Results!$A$2:$A$12,0),MATCH("BatTeam"&amp;2*1/$B84,Fixtures_Results!$E$1:$F$1,0)),"")</f>
        <v/>
      </c>
      <c r="E84" s="6"/>
      <c r="F84" s="11"/>
      <c r="G84" s="11"/>
      <c r="H84" s="11"/>
      <c r="I84" s="11"/>
      <c r="J84" s="6"/>
      <c r="K84" s="11"/>
      <c r="L84" s="11"/>
      <c r="N84" s="4" t="str">
        <f t="array" ref="N84">iferror(transpose(INDIRECT(SUBSTITUTE($C84," ","_"))),"")</f>
        <v/>
      </c>
      <c r="Z84" s="4" t="str">
        <f t="array" ref="Z84">iferror(transpose(INDIRECT(SUBSTITUTE($D84," ","_"))),"")</f>
        <v/>
      </c>
    </row>
    <row r="85" ht="15.75" customHeight="1">
      <c r="A85" s="11"/>
      <c r="B85" s="11"/>
      <c r="C85" s="4" t="str">
        <f t="array" ref="C85">iferror(INDEX(Fixtures_Results!$E$2:$F$12,MATCH($A85,Fixtures_Results!$A$2:$A$12,0),MATCH("BatTeam"&amp;$B85,Fixtures_Results!$E$1:$F$1,0)),"")</f>
        <v/>
      </c>
      <c r="D85" s="4" t="str">
        <f t="array" ref="D85">iferror(INDEX(Fixtures_Results!$E$2:$F$12,MATCH($A85,Fixtures_Results!$A$2:$A$12,0),MATCH("BatTeam"&amp;2*1/$B85,Fixtures_Results!$E$1:$F$1,0)),"")</f>
        <v/>
      </c>
      <c r="E85" s="6"/>
      <c r="F85" s="11"/>
      <c r="G85" s="11"/>
      <c r="H85" s="11"/>
      <c r="I85" s="11"/>
      <c r="J85" s="6"/>
      <c r="K85" s="11"/>
      <c r="L85" s="11"/>
      <c r="N85" s="4" t="str">
        <f t="array" ref="N85">iferror(transpose(INDIRECT(SUBSTITUTE($C85," ","_"))),"")</f>
        <v/>
      </c>
      <c r="Z85" s="4" t="str">
        <f t="array" ref="Z85">iferror(transpose(INDIRECT(SUBSTITUTE($D85," ","_"))),"")</f>
        <v/>
      </c>
    </row>
    <row r="86" ht="15.75" customHeight="1">
      <c r="A86" s="11"/>
      <c r="B86" s="11"/>
      <c r="C86" s="4" t="str">
        <f t="array" ref="C86">iferror(INDEX(Fixtures_Results!$E$2:$F$12,MATCH($A86,Fixtures_Results!$A$2:$A$12,0),MATCH("BatTeam"&amp;$B86,Fixtures_Results!$E$1:$F$1,0)),"")</f>
        <v/>
      </c>
      <c r="D86" s="4" t="str">
        <f t="array" ref="D86">iferror(INDEX(Fixtures_Results!$E$2:$F$12,MATCH($A86,Fixtures_Results!$A$2:$A$12,0),MATCH("BatTeam"&amp;2*1/$B86,Fixtures_Results!$E$1:$F$1,0)),"")</f>
        <v/>
      </c>
      <c r="E86" s="6"/>
      <c r="F86" s="11"/>
      <c r="G86" s="11"/>
      <c r="H86" s="11"/>
      <c r="I86" s="11"/>
      <c r="J86" s="6"/>
      <c r="K86" s="11"/>
      <c r="L86" s="11"/>
      <c r="N86" s="4" t="str">
        <f t="array" ref="N86">iferror(transpose(INDIRECT(SUBSTITUTE($C86," ","_"))),"")</f>
        <v/>
      </c>
      <c r="Z86" s="4" t="str">
        <f t="array" ref="Z86">iferror(transpose(INDIRECT(SUBSTITUTE($D86," ","_"))),"")</f>
        <v/>
      </c>
    </row>
    <row r="87" ht="15.75" customHeight="1">
      <c r="A87" s="11"/>
      <c r="B87" s="11"/>
      <c r="C87" s="4" t="str">
        <f t="array" ref="C87">iferror(INDEX(Fixtures_Results!$E$2:$F$12,MATCH($A87,Fixtures_Results!$A$2:$A$12,0),MATCH("BatTeam"&amp;$B87,Fixtures_Results!$E$1:$F$1,0)),"")</f>
        <v/>
      </c>
      <c r="D87" s="4" t="str">
        <f t="array" ref="D87">iferror(INDEX(Fixtures_Results!$E$2:$F$12,MATCH($A87,Fixtures_Results!$A$2:$A$12,0),MATCH("BatTeam"&amp;2*1/$B87,Fixtures_Results!$E$1:$F$1,0)),"")</f>
        <v/>
      </c>
      <c r="E87" s="6"/>
      <c r="F87" s="11"/>
      <c r="G87" s="11"/>
      <c r="H87" s="11"/>
      <c r="I87" s="11"/>
      <c r="J87" s="6"/>
      <c r="K87" s="11"/>
      <c r="L87" s="11"/>
      <c r="N87" s="4" t="str">
        <f t="array" ref="N87">iferror(transpose(INDIRECT(SUBSTITUTE($C87," ","_"))),"")</f>
        <v/>
      </c>
      <c r="Z87" s="4" t="str">
        <f t="array" ref="Z87">iferror(transpose(INDIRECT(SUBSTITUTE($D87," ","_"))),"")</f>
        <v/>
      </c>
    </row>
    <row r="88" ht="15.75" customHeight="1">
      <c r="A88" s="11"/>
      <c r="B88" s="11"/>
      <c r="C88" s="4" t="str">
        <f t="array" ref="C88">iferror(INDEX(Fixtures_Results!$E$2:$F$12,MATCH($A88,Fixtures_Results!$A$2:$A$12,0),MATCH("BatTeam"&amp;$B88,Fixtures_Results!$E$1:$F$1,0)),"")</f>
        <v/>
      </c>
      <c r="D88" s="4" t="str">
        <f t="array" ref="D88">iferror(INDEX(Fixtures_Results!$E$2:$F$12,MATCH($A88,Fixtures_Results!$A$2:$A$12,0),MATCH("BatTeam"&amp;2*1/$B88,Fixtures_Results!$E$1:$F$1,0)),"")</f>
        <v/>
      </c>
      <c r="E88" s="6"/>
      <c r="F88" s="11"/>
      <c r="G88" s="11"/>
      <c r="H88" s="11"/>
      <c r="I88" s="11"/>
      <c r="J88" s="6"/>
      <c r="K88" s="11"/>
      <c r="L88" s="11"/>
      <c r="N88" s="4" t="str">
        <f t="array" ref="N88">iferror(transpose(INDIRECT(SUBSTITUTE($C88," ","_"))),"")</f>
        <v/>
      </c>
      <c r="Z88" s="4" t="str">
        <f t="array" ref="Z88">iferror(transpose(INDIRECT(SUBSTITUTE($D88," ","_"))),"")</f>
        <v/>
      </c>
    </row>
    <row r="89" ht="15.75" customHeight="1">
      <c r="A89" s="11"/>
      <c r="B89" s="11"/>
      <c r="C89" s="4" t="str">
        <f t="array" ref="C89">iferror(INDEX(Fixtures_Results!$E$2:$F$12,MATCH($A89,Fixtures_Results!$A$2:$A$12,0),MATCH("BatTeam"&amp;$B89,Fixtures_Results!$E$1:$F$1,0)),"")</f>
        <v/>
      </c>
      <c r="D89" s="4" t="str">
        <f t="array" ref="D89">iferror(INDEX(Fixtures_Results!$E$2:$F$12,MATCH($A89,Fixtures_Results!$A$2:$A$12,0),MATCH("BatTeam"&amp;2*1/$B89,Fixtures_Results!$E$1:$F$1,0)),"")</f>
        <v/>
      </c>
      <c r="E89" s="6"/>
      <c r="F89" s="11"/>
      <c r="G89" s="11"/>
      <c r="H89" s="11"/>
      <c r="I89" s="11"/>
      <c r="J89" s="6"/>
      <c r="K89" s="11"/>
      <c r="L89" s="11"/>
      <c r="N89" s="4" t="str">
        <f t="array" ref="N89">iferror(transpose(INDIRECT(SUBSTITUTE($C89," ","_"))),"")</f>
        <v/>
      </c>
      <c r="Z89" s="4" t="str">
        <f t="array" ref="Z89">iferror(transpose(INDIRECT(SUBSTITUTE($D89," ","_"))),"")</f>
        <v/>
      </c>
    </row>
    <row r="90" ht="15.75" customHeight="1">
      <c r="A90" s="11"/>
      <c r="B90" s="11"/>
      <c r="C90" s="4" t="str">
        <f t="array" ref="C90">iferror(INDEX(Fixtures_Results!$E$2:$F$12,MATCH($A90,Fixtures_Results!$A$2:$A$12,0),MATCH("BatTeam"&amp;$B90,Fixtures_Results!$E$1:$F$1,0)),"")</f>
        <v/>
      </c>
      <c r="D90" s="4" t="str">
        <f t="array" ref="D90">iferror(INDEX(Fixtures_Results!$E$2:$F$12,MATCH($A90,Fixtures_Results!$A$2:$A$12,0),MATCH("BatTeam"&amp;2*1/$B90,Fixtures_Results!$E$1:$F$1,0)),"")</f>
        <v/>
      </c>
      <c r="E90" s="6"/>
      <c r="F90" s="11"/>
      <c r="G90" s="11"/>
      <c r="H90" s="11"/>
      <c r="I90" s="11"/>
      <c r="J90" s="6"/>
      <c r="K90" s="11"/>
      <c r="L90" s="11"/>
      <c r="N90" s="4" t="str">
        <f t="array" ref="N90">iferror(transpose(INDIRECT(SUBSTITUTE($C90," ","_"))),"")</f>
        <v/>
      </c>
      <c r="Z90" s="4" t="str">
        <f t="array" ref="Z90">iferror(transpose(INDIRECT(SUBSTITUTE($D90," ","_"))),"")</f>
        <v/>
      </c>
    </row>
    <row r="91" ht="15.75" customHeight="1">
      <c r="A91" s="11"/>
      <c r="B91" s="11"/>
      <c r="C91" s="4" t="str">
        <f t="array" ref="C91">iferror(INDEX(Fixtures_Results!$E$2:$F$12,MATCH($A91,Fixtures_Results!$A$2:$A$12,0),MATCH("BatTeam"&amp;$B91,Fixtures_Results!$E$1:$F$1,0)),"")</f>
        <v/>
      </c>
      <c r="D91" s="4" t="str">
        <f t="array" ref="D91">iferror(INDEX(Fixtures_Results!$E$2:$F$12,MATCH($A91,Fixtures_Results!$A$2:$A$12,0),MATCH("BatTeam"&amp;2*1/$B91,Fixtures_Results!$E$1:$F$1,0)),"")</f>
        <v/>
      </c>
      <c r="E91" s="6"/>
      <c r="F91" s="11"/>
      <c r="G91" s="11"/>
      <c r="H91" s="11"/>
      <c r="I91" s="11"/>
      <c r="J91" s="6"/>
      <c r="K91" s="11"/>
      <c r="L91" s="11"/>
      <c r="N91" s="4" t="str">
        <f t="array" ref="N91">iferror(transpose(INDIRECT(SUBSTITUTE($C91," ","_"))),"")</f>
        <v/>
      </c>
      <c r="Z91" s="4" t="str">
        <f t="array" ref="Z91">iferror(transpose(INDIRECT(SUBSTITUTE($D91," ","_"))),"")</f>
        <v/>
      </c>
    </row>
    <row r="92" ht="15.75" customHeight="1">
      <c r="A92" s="11"/>
      <c r="B92" s="11"/>
      <c r="C92" s="4" t="str">
        <f t="array" ref="C92">iferror(INDEX(Fixtures_Results!$E$2:$F$12,MATCH($A92,Fixtures_Results!$A$2:$A$12,0),MATCH("BatTeam"&amp;$B92,Fixtures_Results!$E$1:$F$1,0)),"")</f>
        <v/>
      </c>
      <c r="D92" s="4" t="str">
        <f t="array" ref="D92">iferror(INDEX(Fixtures_Results!$E$2:$F$12,MATCH($A92,Fixtures_Results!$A$2:$A$12,0),MATCH("BatTeam"&amp;2*1/$B92,Fixtures_Results!$E$1:$F$1,0)),"")</f>
        <v/>
      </c>
      <c r="E92" s="6"/>
      <c r="F92" s="11"/>
      <c r="G92" s="11"/>
      <c r="H92" s="11"/>
      <c r="I92" s="11"/>
      <c r="J92" s="6"/>
      <c r="K92" s="11"/>
      <c r="L92" s="11"/>
      <c r="N92" s="4" t="str">
        <f t="array" ref="N92">iferror(transpose(INDIRECT(SUBSTITUTE($C92," ","_"))),"")</f>
        <v/>
      </c>
      <c r="Z92" s="4" t="str">
        <f t="array" ref="Z92">iferror(transpose(INDIRECT(SUBSTITUTE($D92," ","_"))),"")</f>
        <v/>
      </c>
    </row>
    <row r="93" ht="15.75" customHeight="1">
      <c r="A93" s="11"/>
      <c r="B93" s="11"/>
      <c r="C93" s="4" t="str">
        <f t="array" ref="C93">iferror(INDEX(Fixtures_Results!$E$2:$F$12,MATCH($A93,Fixtures_Results!$A$2:$A$12,0),MATCH("BatTeam"&amp;$B93,Fixtures_Results!$E$1:$F$1,0)),"")</f>
        <v/>
      </c>
      <c r="D93" s="4" t="str">
        <f t="array" ref="D93">iferror(INDEX(Fixtures_Results!$E$2:$F$12,MATCH($A93,Fixtures_Results!$A$2:$A$12,0),MATCH("BatTeam"&amp;2*1/$B93,Fixtures_Results!$E$1:$F$1,0)),"")</f>
        <v/>
      </c>
      <c r="E93" s="6"/>
      <c r="F93" s="11"/>
      <c r="G93" s="11"/>
      <c r="H93" s="11"/>
      <c r="I93" s="11"/>
      <c r="J93" s="6"/>
      <c r="K93" s="11"/>
      <c r="L93" s="11"/>
      <c r="N93" s="4" t="str">
        <f t="array" ref="N93">iferror(transpose(INDIRECT(SUBSTITUTE($C93," ","_"))),"")</f>
        <v/>
      </c>
      <c r="Z93" s="4" t="str">
        <f t="array" ref="Z93">iferror(transpose(INDIRECT(SUBSTITUTE($D93," ","_"))),"")</f>
        <v/>
      </c>
    </row>
    <row r="94" ht="15.75" customHeight="1">
      <c r="A94" s="11"/>
      <c r="B94" s="11"/>
      <c r="C94" s="4" t="str">
        <f t="array" ref="C94">iferror(INDEX(Fixtures_Results!$E$2:$F$12,MATCH($A94,Fixtures_Results!$A$2:$A$12,0),MATCH("BatTeam"&amp;$B94,Fixtures_Results!$E$1:$F$1,0)),"")</f>
        <v/>
      </c>
      <c r="D94" s="4" t="str">
        <f t="array" ref="D94">iferror(INDEX(Fixtures_Results!$E$2:$F$12,MATCH($A94,Fixtures_Results!$A$2:$A$12,0),MATCH("BatTeam"&amp;2*1/$B94,Fixtures_Results!$E$1:$F$1,0)),"")</f>
        <v/>
      </c>
      <c r="E94" s="6"/>
      <c r="F94" s="11"/>
      <c r="G94" s="11"/>
      <c r="H94" s="11"/>
      <c r="I94" s="11"/>
      <c r="J94" s="6"/>
      <c r="K94" s="11"/>
      <c r="L94" s="11"/>
      <c r="N94" s="4" t="str">
        <f t="array" ref="N94">iferror(transpose(INDIRECT(SUBSTITUTE($C94," ","_"))),"")</f>
        <v/>
      </c>
      <c r="Z94" s="4" t="str">
        <f t="array" ref="Z94">iferror(transpose(INDIRECT(SUBSTITUTE($D94," ","_"))),"")</f>
        <v/>
      </c>
    </row>
    <row r="95" ht="15.75" customHeight="1">
      <c r="A95" s="11"/>
      <c r="B95" s="11"/>
      <c r="C95" s="4" t="str">
        <f t="array" ref="C95">iferror(INDEX(Fixtures_Results!$E$2:$F$12,MATCH($A95,Fixtures_Results!$A$2:$A$12,0),MATCH("BatTeam"&amp;$B95,Fixtures_Results!$E$1:$F$1,0)),"")</f>
        <v/>
      </c>
      <c r="D95" s="4" t="str">
        <f t="array" ref="D95">iferror(INDEX(Fixtures_Results!$E$2:$F$12,MATCH($A95,Fixtures_Results!$A$2:$A$12,0),MATCH("BatTeam"&amp;2*1/$B95,Fixtures_Results!$E$1:$F$1,0)),"")</f>
        <v/>
      </c>
      <c r="E95" s="6"/>
      <c r="F95" s="11"/>
      <c r="G95" s="11"/>
      <c r="H95" s="11"/>
      <c r="I95" s="11"/>
      <c r="J95" s="6"/>
      <c r="K95" s="11"/>
      <c r="L95" s="11"/>
      <c r="N95" s="4" t="str">
        <f t="array" ref="N95">iferror(transpose(INDIRECT(SUBSTITUTE($C95," ","_"))),"")</f>
        <v/>
      </c>
      <c r="Z95" s="4" t="str">
        <f t="array" ref="Z95">iferror(transpose(INDIRECT(SUBSTITUTE($D95," ","_"))),"")</f>
        <v/>
      </c>
    </row>
    <row r="96" ht="15.75" customHeight="1">
      <c r="A96" s="11"/>
      <c r="B96" s="11"/>
      <c r="C96" s="4" t="str">
        <f t="array" ref="C96">iferror(INDEX(Fixtures_Results!$E$2:$F$12,MATCH($A96,Fixtures_Results!$A$2:$A$12,0),MATCH("BatTeam"&amp;$B96,Fixtures_Results!$E$1:$F$1,0)),"")</f>
        <v/>
      </c>
      <c r="D96" s="4" t="str">
        <f t="array" ref="D96">iferror(INDEX(Fixtures_Results!$E$2:$F$12,MATCH($A96,Fixtures_Results!$A$2:$A$12,0),MATCH("BatTeam"&amp;2*1/$B96,Fixtures_Results!$E$1:$F$1,0)),"")</f>
        <v/>
      </c>
      <c r="E96" s="6"/>
      <c r="F96" s="11"/>
      <c r="G96" s="11"/>
      <c r="H96" s="11"/>
      <c r="I96" s="11"/>
      <c r="J96" s="6"/>
      <c r="K96" s="11"/>
      <c r="L96" s="11"/>
      <c r="N96" s="4" t="str">
        <f t="array" ref="N96">iferror(transpose(INDIRECT(SUBSTITUTE($C96," ","_"))),"")</f>
        <v/>
      </c>
      <c r="Z96" s="4" t="str">
        <f t="array" ref="Z96">iferror(transpose(INDIRECT(SUBSTITUTE($D96," ","_"))),"")</f>
        <v/>
      </c>
    </row>
    <row r="97" ht="15.75" customHeight="1">
      <c r="A97" s="11"/>
      <c r="B97" s="11"/>
      <c r="C97" s="4" t="str">
        <f t="array" ref="C97">iferror(INDEX(Fixtures_Results!$E$2:$F$12,MATCH($A97,Fixtures_Results!$A$2:$A$12,0),MATCH("BatTeam"&amp;$B97,Fixtures_Results!$E$1:$F$1,0)),"")</f>
        <v/>
      </c>
      <c r="D97" s="4" t="str">
        <f t="array" ref="D97">iferror(INDEX(Fixtures_Results!$E$2:$F$12,MATCH($A97,Fixtures_Results!$A$2:$A$12,0),MATCH("BatTeam"&amp;2*1/$B97,Fixtures_Results!$E$1:$F$1,0)),"")</f>
        <v/>
      </c>
      <c r="E97" s="6"/>
      <c r="F97" s="11"/>
      <c r="G97" s="11"/>
      <c r="H97" s="11"/>
      <c r="I97" s="11"/>
      <c r="J97" s="6"/>
      <c r="K97" s="11"/>
      <c r="L97" s="11"/>
      <c r="N97" s="4" t="str">
        <f t="array" ref="N97">iferror(transpose(INDIRECT(SUBSTITUTE($C97," ","_"))),"")</f>
        <v/>
      </c>
      <c r="Z97" s="4" t="str">
        <f t="array" ref="Z97">iferror(transpose(INDIRECT(SUBSTITUTE($D97," ","_"))),"")</f>
        <v/>
      </c>
    </row>
    <row r="98" ht="15.75" customHeight="1">
      <c r="A98" s="11"/>
      <c r="B98" s="11"/>
      <c r="C98" s="4" t="str">
        <f t="array" ref="C98">iferror(INDEX(Fixtures_Results!$E$2:$F$12,MATCH($A98,Fixtures_Results!$A$2:$A$12,0),MATCH("BatTeam"&amp;$B98,Fixtures_Results!$E$1:$F$1,0)),"")</f>
        <v/>
      </c>
      <c r="D98" s="4" t="str">
        <f t="array" ref="D98">iferror(INDEX(Fixtures_Results!$E$2:$F$12,MATCH($A98,Fixtures_Results!$A$2:$A$12,0),MATCH("BatTeam"&amp;2*1/$B98,Fixtures_Results!$E$1:$F$1,0)),"")</f>
        <v/>
      </c>
      <c r="E98" s="6"/>
      <c r="F98" s="11"/>
      <c r="G98" s="11"/>
      <c r="H98" s="11"/>
      <c r="I98" s="11"/>
      <c r="J98" s="6"/>
      <c r="K98" s="11"/>
      <c r="L98" s="11"/>
      <c r="N98" s="4" t="str">
        <f t="array" ref="N98">iferror(transpose(INDIRECT(SUBSTITUTE($C98," ","_"))),"")</f>
        <v/>
      </c>
      <c r="Z98" s="4" t="str">
        <f t="array" ref="Z98">iferror(transpose(INDIRECT(SUBSTITUTE($D98," ","_"))),"")</f>
        <v/>
      </c>
    </row>
    <row r="99" ht="15.75" customHeight="1">
      <c r="A99" s="11"/>
      <c r="B99" s="11"/>
      <c r="C99" s="4" t="str">
        <f t="array" ref="C99">iferror(INDEX(Fixtures_Results!$E$2:$F$12,MATCH($A99,Fixtures_Results!$A$2:$A$12,0),MATCH("BatTeam"&amp;$B99,Fixtures_Results!$E$1:$F$1,0)),"")</f>
        <v/>
      </c>
      <c r="D99" s="4" t="str">
        <f t="array" ref="D99">iferror(INDEX(Fixtures_Results!$E$2:$F$12,MATCH($A99,Fixtures_Results!$A$2:$A$12,0),MATCH("BatTeam"&amp;2*1/$B99,Fixtures_Results!$E$1:$F$1,0)),"")</f>
        <v/>
      </c>
      <c r="E99" s="6"/>
      <c r="F99" s="11"/>
      <c r="G99" s="11"/>
      <c r="H99" s="11"/>
      <c r="I99" s="11"/>
      <c r="J99" s="6"/>
      <c r="K99" s="11"/>
      <c r="L99" s="11"/>
      <c r="N99" s="4" t="str">
        <f t="array" ref="N99">iferror(transpose(INDIRECT(SUBSTITUTE($C99," ","_"))),"")</f>
        <v/>
      </c>
      <c r="Z99" s="4" t="str">
        <f t="array" ref="Z99">iferror(transpose(INDIRECT(SUBSTITUTE($D99," ","_"))),"")</f>
        <v/>
      </c>
    </row>
    <row r="100" ht="15.75" customHeight="1">
      <c r="A100" s="11"/>
      <c r="B100" s="11"/>
      <c r="C100" s="4" t="str">
        <f t="array" ref="C100">iferror(INDEX(Fixtures_Results!$E$2:$F$12,MATCH($A100,Fixtures_Results!$A$2:$A$12,0),MATCH("BatTeam"&amp;$B100,Fixtures_Results!$E$1:$F$1,0)),"")</f>
        <v/>
      </c>
      <c r="D100" s="4" t="str">
        <f t="array" ref="D100">iferror(INDEX(Fixtures_Results!$E$2:$F$12,MATCH($A100,Fixtures_Results!$A$2:$A$12,0),MATCH("BatTeam"&amp;2*1/$B100,Fixtures_Results!$E$1:$F$1,0)),"")</f>
        <v/>
      </c>
      <c r="E100" s="6"/>
      <c r="F100" s="11"/>
      <c r="G100" s="11"/>
      <c r="H100" s="11"/>
      <c r="I100" s="11"/>
      <c r="J100" s="6"/>
      <c r="K100" s="11"/>
      <c r="L100" s="11"/>
      <c r="N100" s="4" t="str">
        <f t="array" ref="N100">iferror(transpose(INDIRECT(SUBSTITUTE($C100," ","_"))),"")</f>
        <v/>
      </c>
      <c r="Z100" s="4" t="str">
        <f t="array" ref="Z100">iferror(transpose(INDIRECT(SUBSTITUTE($D100," ","_"))),"")</f>
        <v/>
      </c>
    </row>
    <row r="101" ht="15.75" customHeight="1">
      <c r="A101" s="11"/>
      <c r="B101" s="11"/>
      <c r="C101" s="4" t="str">
        <f t="array" ref="C101">iferror(INDEX(Fixtures_Results!$E$2:$F$12,MATCH($A101,Fixtures_Results!$A$2:$A$12,0),MATCH("BatTeam"&amp;$B101,Fixtures_Results!$E$1:$F$1,0)),"")</f>
        <v/>
      </c>
      <c r="D101" s="4" t="str">
        <f t="array" ref="D101">iferror(INDEX(Fixtures_Results!$E$2:$F$12,MATCH($A101,Fixtures_Results!$A$2:$A$12,0),MATCH("BatTeam"&amp;2*1/$B101,Fixtures_Results!$E$1:$F$1,0)),"")</f>
        <v/>
      </c>
      <c r="E101" s="6"/>
      <c r="F101" s="11"/>
      <c r="G101" s="11"/>
      <c r="H101" s="11"/>
      <c r="I101" s="11"/>
      <c r="J101" s="6"/>
      <c r="K101" s="11"/>
      <c r="L101" s="11"/>
      <c r="N101" s="4" t="str">
        <f t="array" ref="N101">iferror(transpose(INDIRECT(SUBSTITUTE($C101," ","_"))),"")</f>
        <v/>
      </c>
      <c r="Z101" s="4" t="str">
        <f t="array" ref="Z101">iferror(transpose(INDIRECT(SUBSTITUTE($D101," ","_"))),"")</f>
        <v/>
      </c>
    </row>
    <row r="102" ht="15.75" customHeight="1">
      <c r="A102" s="11"/>
      <c r="B102" s="11"/>
      <c r="C102" s="4" t="str">
        <f t="array" ref="C102">iferror(INDEX(Fixtures_Results!$E$2:$F$12,MATCH($A102,Fixtures_Results!$A$2:$A$12,0),MATCH("BatTeam"&amp;$B102,Fixtures_Results!$E$1:$F$1,0)),"")</f>
        <v/>
      </c>
      <c r="D102" s="4" t="str">
        <f t="array" ref="D102">iferror(INDEX(Fixtures_Results!$E$2:$F$12,MATCH($A102,Fixtures_Results!$A$2:$A$12,0),MATCH("BatTeam"&amp;2*1/$B102,Fixtures_Results!$E$1:$F$1,0)),"")</f>
        <v/>
      </c>
      <c r="E102" s="6"/>
      <c r="F102" s="11"/>
      <c r="G102" s="11"/>
      <c r="H102" s="11"/>
      <c r="I102" s="11"/>
      <c r="J102" s="6"/>
      <c r="K102" s="11"/>
      <c r="L102" s="11"/>
      <c r="N102" s="4" t="str">
        <f t="array" ref="N102">iferror(transpose(INDIRECT(SUBSTITUTE($C102," ","_"))),"")</f>
        <v/>
      </c>
      <c r="Z102" s="4" t="str">
        <f t="array" ref="Z102">iferror(transpose(INDIRECT(SUBSTITUTE($D102," ","_"))),"")</f>
        <v/>
      </c>
    </row>
    <row r="103" ht="15.75" customHeight="1">
      <c r="A103" s="11"/>
      <c r="B103" s="11"/>
      <c r="C103" s="4" t="str">
        <f t="array" ref="C103">iferror(INDEX(Fixtures_Results!$E$2:$F$12,MATCH($A103,Fixtures_Results!$A$2:$A$12,0),MATCH("BatTeam"&amp;$B103,Fixtures_Results!$E$1:$F$1,0)),"")</f>
        <v/>
      </c>
      <c r="D103" s="4" t="str">
        <f t="array" ref="D103">iferror(INDEX(Fixtures_Results!$E$2:$F$12,MATCH($A103,Fixtures_Results!$A$2:$A$12,0),MATCH("BatTeam"&amp;2*1/$B103,Fixtures_Results!$E$1:$F$1,0)),"")</f>
        <v/>
      </c>
      <c r="E103" s="6"/>
      <c r="F103" s="11"/>
      <c r="G103" s="11"/>
      <c r="H103" s="11"/>
      <c r="I103" s="11"/>
      <c r="J103" s="6"/>
      <c r="K103" s="11"/>
      <c r="L103" s="11"/>
      <c r="N103" s="4" t="str">
        <f t="array" ref="N103">iferror(transpose(INDIRECT(SUBSTITUTE($C103," ","_"))),"")</f>
        <v/>
      </c>
      <c r="Z103" s="4" t="str">
        <f t="array" ref="Z103">iferror(transpose(INDIRECT(SUBSTITUTE($D103," ","_"))),"")</f>
        <v/>
      </c>
    </row>
    <row r="104" ht="15.75" customHeight="1">
      <c r="A104" s="11"/>
      <c r="B104" s="11"/>
      <c r="C104" s="4" t="str">
        <f t="array" ref="C104">iferror(INDEX(Fixtures_Results!$E$2:$F$12,MATCH($A104,Fixtures_Results!$A$2:$A$12,0),MATCH("BatTeam"&amp;$B104,Fixtures_Results!$E$1:$F$1,0)),"")</f>
        <v/>
      </c>
      <c r="D104" s="4" t="str">
        <f t="array" ref="D104">iferror(INDEX(Fixtures_Results!$E$2:$F$12,MATCH($A104,Fixtures_Results!$A$2:$A$12,0),MATCH("BatTeam"&amp;2*1/$B104,Fixtures_Results!$E$1:$F$1,0)),"")</f>
        <v/>
      </c>
      <c r="E104" s="6"/>
      <c r="F104" s="11"/>
      <c r="G104" s="11"/>
      <c r="H104" s="11"/>
      <c r="I104" s="11"/>
      <c r="J104" s="6"/>
      <c r="K104" s="11"/>
      <c r="L104" s="11"/>
      <c r="N104" s="4" t="str">
        <f t="array" ref="N104">iferror(transpose(INDIRECT(SUBSTITUTE($C104," ","_"))),"")</f>
        <v/>
      </c>
      <c r="Z104" s="4" t="str">
        <f t="array" ref="Z104">iferror(transpose(INDIRECT(SUBSTITUTE($D104," ","_"))),"")</f>
        <v/>
      </c>
    </row>
    <row r="105" ht="15.75" customHeight="1">
      <c r="A105" s="11"/>
      <c r="B105" s="11"/>
      <c r="C105" s="4" t="str">
        <f t="array" ref="C105">iferror(INDEX(Fixtures_Results!$E$2:$F$12,MATCH($A105,Fixtures_Results!$A$2:$A$12,0),MATCH("BatTeam"&amp;$B105,Fixtures_Results!$E$1:$F$1,0)),"")</f>
        <v/>
      </c>
      <c r="D105" s="4" t="str">
        <f t="array" ref="D105">iferror(INDEX(Fixtures_Results!$E$2:$F$12,MATCH($A105,Fixtures_Results!$A$2:$A$12,0),MATCH("BatTeam"&amp;2*1/$B105,Fixtures_Results!$E$1:$F$1,0)),"")</f>
        <v/>
      </c>
      <c r="E105" s="6"/>
      <c r="F105" s="11"/>
      <c r="G105" s="11"/>
      <c r="H105" s="11"/>
      <c r="I105" s="11"/>
      <c r="J105" s="6"/>
      <c r="K105" s="11"/>
      <c r="L105" s="11"/>
      <c r="N105" s="4" t="str">
        <f t="array" ref="N105">iferror(transpose(INDIRECT(SUBSTITUTE($C105," ","_"))),"")</f>
        <v/>
      </c>
      <c r="Z105" s="4" t="str">
        <f t="array" ref="Z105">iferror(transpose(INDIRECT(SUBSTITUTE($D105," ","_"))),"")</f>
        <v/>
      </c>
    </row>
    <row r="106" ht="15.75" customHeight="1">
      <c r="A106" s="11"/>
      <c r="B106" s="11"/>
      <c r="C106" s="4" t="str">
        <f t="array" ref="C106">iferror(INDEX(Fixtures_Results!$E$2:$F$12,MATCH($A106,Fixtures_Results!$A$2:$A$12,0),MATCH("BatTeam"&amp;$B106,Fixtures_Results!$E$1:$F$1,0)),"")</f>
        <v/>
      </c>
      <c r="D106" s="4" t="str">
        <f t="array" ref="D106">iferror(INDEX(Fixtures_Results!$E$2:$F$12,MATCH($A106,Fixtures_Results!$A$2:$A$12,0),MATCH("BatTeam"&amp;2*1/$B106,Fixtures_Results!$E$1:$F$1,0)),"")</f>
        <v/>
      </c>
      <c r="E106" s="6"/>
      <c r="F106" s="11"/>
      <c r="G106" s="11"/>
      <c r="H106" s="11"/>
      <c r="I106" s="11"/>
      <c r="J106" s="6"/>
      <c r="K106" s="11"/>
      <c r="L106" s="11"/>
      <c r="N106" s="4" t="str">
        <f t="array" ref="N106">iferror(transpose(INDIRECT(SUBSTITUTE($C106," ","_"))),"")</f>
        <v/>
      </c>
      <c r="Z106" s="4" t="str">
        <f t="array" ref="Z106">iferror(transpose(INDIRECT(SUBSTITUTE($D106," ","_"))),"")</f>
        <v/>
      </c>
    </row>
    <row r="107" ht="15.75" customHeight="1">
      <c r="A107" s="11"/>
      <c r="B107" s="11"/>
      <c r="C107" s="4" t="str">
        <f t="array" ref="C107">iferror(INDEX(Fixtures_Results!$E$2:$F$12,MATCH($A107,Fixtures_Results!$A$2:$A$12,0),MATCH("BatTeam"&amp;$B107,Fixtures_Results!$E$1:$F$1,0)),"")</f>
        <v/>
      </c>
      <c r="D107" s="4" t="str">
        <f t="array" ref="D107">iferror(INDEX(Fixtures_Results!$E$2:$F$12,MATCH($A107,Fixtures_Results!$A$2:$A$12,0),MATCH("BatTeam"&amp;2*1/$B107,Fixtures_Results!$E$1:$F$1,0)),"")</f>
        <v/>
      </c>
      <c r="E107" s="6"/>
      <c r="F107" s="11"/>
      <c r="G107" s="11"/>
      <c r="H107" s="11"/>
      <c r="I107" s="11"/>
      <c r="J107" s="6"/>
      <c r="K107" s="11"/>
      <c r="L107" s="11"/>
      <c r="N107" s="4" t="str">
        <f t="array" ref="N107">iferror(transpose(INDIRECT(SUBSTITUTE($C107," ","_"))),"")</f>
        <v/>
      </c>
      <c r="Z107" s="4" t="str">
        <f t="array" ref="Z107">iferror(transpose(INDIRECT(SUBSTITUTE($D107," ","_"))),"")</f>
        <v/>
      </c>
    </row>
    <row r="108" ht="15.75" customHeight="1">
      <c r="A108" s="11"/>
      <c r="B108" s="11"/>
      <c r="C108" s="4" t="str">
        <f t="array" ref="C108">iferror(INDEX(Fixtures_Results!$E$2:$F$12,MATCH($A108,Fixtures_Results!$A$2:$A$12,0),MATCH("BatTeam"&amp;$B108,Fixtures_Results!$E$1:$F$1,0)),"")</f>
        <v/>
      </c>
      <c r="D108" s="4" t="str">
        <f t="array" ref="D108">iferror(INDEX(Fixtures_Results!$E$2:$F$12,MATCH($A108,Fixtures_Results!$A$2:$A$12,0),MATCH("BatTeam"&amp;2*1/$B108,Fixtures_Results!$E$1:$F$1,0)),"")</f>
        <v/>
      </c>
      <c r="E108" s="6"/>
      <c r="F108" s="11"/>
      <c r="G108" s="11"/>
      <c r="H108" s="11"/>
      <c r="I108" s="11"/>
      <c r="J108" s="6"/>
      <c r="K108" s="11"/>
      <c r="L108" s="11"/>
      <c r="N108" s="4" t="str">
        <f t="array" ref="N108">iferror(transpose(INDIRECT(SUBSTITUTE($C108," ","_"))),"")</f>
        <v/>
      </c>
      <c r="Z108" s="4" t="str">
        <f t="array" ref="Z108">iferror(transpose(INDIRECT(SUBSTITUTE($D108," ","_"))),"")</f>
        <v/>
      </c>
    </row>
    <row r="109" ht="15.75" customHeight="1">
      <c r="A109" s="11"/>
      <c r="B109" s="11"/>
      <c r="C109" s="4" t="str">
        <f t="array" ref="C109">iferror(INDEX(Fixtures_Results!$E$2:$F$12,MATCH($A109,Fixtures_Results!$A$2:$A$12,0),MATCH("BatTeam"&amp;$B109,Fixtures_Results!$E$1:$F$1,0)),"")</f>
        <v/>
      </c>
      <c r="D109" s="4" t="str">
        <f t="array" ref="D109">iferror(INDEX(Fixtures_Results!$E$2:$F$12,MATCH($A109,Fixtures_Results!$A$2:$A$12,0),MATCH("BatTeam"&amp;2*1/$B109,Fixtures_Results!$E$1:$F$1,0)),"")</f>
        <v/>
      </c>
      <c r="E109" s="6"/>
      <c r="F109" s="11"/>
      <c r="G109" s="11"/>
      <c r="H109" s="11"/>
      <c r="I109" s="11"/>
      <c r="J109" s="6"/>
      <c r="K109" s="11"/>
      <c r="L109" s="11"/>
      <c r="N109" s="4" t="str">
        <f t="array" ref="N109">iferror(transpose(INDIRECT(SUBSTITUTE($C109," ","_"))),"")</f>
        <v/>
      </c>
      <c r="Z109" s="4" t="str">
        <f t="array" ref="Z109">iferror(transpose(INDIRECT(SUBSTITUTE($D109," ","_"))),"")</f>
        <v/>
      </c>
    </row>
    <row r="110" ht="15.75" customHeight="1">
      <c r="A110" s="11"/>
      <c r="B110" s="11"/>
      <c r="C110" s="4" t="str">
        <f t="array" ref="C110">iferror(INDEX(Fixtures_Results!$E$2:$F$12,MATCH($A110,Fixtures_Results!$A$2:$A$12,0),MATCH("BatTeam"&amp;$B110,Fixtures_Results!$E$1:$F$1,0)),"")</f>
        <v/>
      </c>
      <c r="D110" s="4" t="str">
        <f t="array" ref="D110">iferror(INDEX(Fixtures_Results!$E$2:$F$12,MATCH($A110,Fixtures_Results!$A$2:$A$12,0),MATCH("BatTeam"&amp;2*1/$B110,Fixtures_Results!$E$1:$F$1,0)),"")</f>
        <v/>
      </c>
      <c r="E110" s="6"/>
      <c r="F110" s="11"/>
      <c r="G110" s="11"/>
      <c r="H110" s="11"/>
      <c r="I110" s="11"/>
      <c r="J110" s="6"/>
      <c r="K110" s="11"/>
      <c r="L110" s="11"/>
      <c r="N110" s="4" t="str">
        <f t="array" ref="N110">iferror(transpose(INDIRECT(SUBSTITUTE($C110," ","_"))),"")</f>
        <v/>
      </c>
      <c r="Z110" s="4" t="str">
        <f t="array" ref="Z110">iferror(transpose(INDIRECT(SUBSTITUTE($D110," ","_"))),"")</f>
        <v/>
      </c>
    </row>
    <row r="111" ht="15.75" customHeight="1">
      <c r="A111" s="11"/>
      <c r="B111" s="11"/>
      <c r="C111" s="4" t="str">
        <f t="array" ref="C111">iferror(INDEX(Fixtures_Results!$E$2:$F$12,MATCH($A111,Fixtures_Results!$A$2:$A$12,0),MATCH("BatTeam"&amp;$B111,Fixtures_Results!$E$1:$F$1,0)),"")</f>
        <v/>
      </c>
      <c r="D111" s="4" t="str">
        <f t="array" ref="D111">iferror(INDEX(Fixtures_Results!$E$2:$F$12,MATCH($A111,Fixtures_Results!$A$2:$A$12,0),MATCH("BatTeam"&amp;2*1/$B111,Fixtures_Results!$E$1:$F$1,0)),"")</f>
        <v/>
      </c>
      <c r="E111" s="6"/>
      <c r="F111" s="11"/>
      <c r="G111" s="11"/>
      <c r="H111" s="11"/>
      <c r="I111" s="11"/>
      <c r="J111" s="6"/>
      <c r="K111" s="11"/>
      <c r="L111" s="11"/>
      <c r="N111" s="4" t="str">
        <f t="array" ref="N111">iferror(transpose(INDIRECT(SUBSTITUTE($C111," ","_"))),"")</f>
        <v/>
      </c>
      <c r="Z111" s="4" t="str">
        <f t="array" ref="Z111">iferror(transpose(INDIRECT(SUBSTITUTE($D111," ","_"))),"")</f>
        <v/>
      </c>
    </row>
    <row r="112" ht="15.75" customHeight="1">
      <c r="A112" s="11"/>
      <c r="B112" s="11"/>
      <c r="C112" s="4" t="str">
        <f t="array" ref="C112">iferror(INDEX(Fixtures_Results!$E$2:$F$12,MATCH($A112,Fixtures_Results!$A$2:$A$12,0),MATCH("BatTeam"&amp;$B112,Fixtures_Results!$E$1:$F$1,0)),"")</f>
        <v/>
      </c>
      <c r="D112" s="4" t="str">
        <f t="array" ref="D112">iferror(INDEX(Fixtures_Results!$E$2:$F$12,MATCH($A112,Fixtures_Results!$A$2:$A$12,0),MATCH("BatTeam"&amp;2*1/$B112,Fixtures_Results!$E$1:$F$1,0)),"")</f>
        <v/>
      </c>
      <c r="E112" s="6"/>
      <c r="F112" s="11"/>
      <c r="G112" s="11"/>
      <c r="H112" s="11"/>
      <c r="I112" s="11"/>
      <c r="J112" s="6"/>
      <c r="K112" s="11"/>
      <c r="L112" s="11"/>
      <c r="N112" s="4" t="str">
        <f t="array" ref="N112">iferror(transpose(INDIRECT(SUBSTITUTE($C112," ","_"))),"")</f>
        <v/>
      </c>
      <c r="Z112" s="4" t="str">
        <f t="array" ref="Z112">iferror(transpose(INDIRECT(SUBSTITUTE($D112," ","_"))),"")</f>
        <v/>
      </c>
    </row>
    <row r="113" ht="15.75" customHeight="1">
      <c r="A113" s="11"/>
      <c r="B113" s="11"/>
      <c r="C113" s="4" t="str">
        <f t="array" ref="C113">iferror(INDEX(Fixtures_Results!$E$2:$F$12,MATCH($A113,Fixtures_Results!$A$2:$A$12,0),MATCH("BatTeam"&amp;$B113,Fixtures_Results!$E$1:$F$1,0)),"")</f>
        <v/>
      </c>
      <c r="D113" s="4" t="str">
        <f t="array" ref="D113">iferror(INDEX(Fixtures_Results!$E$2:$F$12,MATCH($A113,Fixtures_Results!$A$2:$A$12,0),MATCH("BatTeam"&amp;2*1/$B113,Fixtures_Results!$E$1:$F$1,0)),"")</f>
        <v/>
      </c>
      <c r="E113" s="6"/>
      <c r="F113" s="11"/>
      <c r="G113" s="11"/>
      <c r="H113" s="11"/>
      <c r="I113" s="11"/>
      <c r="J113" s="6"/>
      <c r="K113" s="11"/>
      <c r="L113" s="11"/>
      <c r="N113" s="4" t="str">
        <f t="array" ref="N113">iferror(transpose(INDIRECT(SUBSTITUTE($C113," ","_"))),"")</f>
        <v/>
      </c>
      <c r="Z113" s="4" t="str">
        <f t="array" ref="Z113">iferror(transpose(INDIRECT(SUBSTITUTE($D113," ","_"))),"")</f>
        <v/>
      </c>
    </row>
    <row r="114" ht="15.75" customHeight="1">
      <c r="A114" s="11"/>
      <c r="B114" s="11"/>
      <c r="C114" s="4" t="str">
        <f t="array" ref="C114">iferror(INDEX(Fixtures_Results!$E$2:$F$12,MATCH($A114,Fixtures_Results!$A$2:$A$12,0),MATCH("BatTeam"&amp;$B114,Fixtures_Results!$E$1:$F$1,0)),"")</f>
        <v/>
      </c>
      <c r="D114" s="4" t="str">
        <f t="array" ref="D114">iferror(INDEX(Fixtures_Results!$E$2:$F$12,MATCH($A114,Fixtures_Results!$A$2:$A$12,0),MATCH("BatTeam"&amp;2*1/$B114,Fixtures_Results!$E$1:$F$1,0)),"")</f>
        <v/>
      </c>
      <c r="E114" s="6"/>
      <c r="F114" s="11"/>
      <c r="G114" s="11"/>
      <c r="H114" s="11"/>
      <c r="I114" s="11"/>
      <c r="J114" s="6"/>
      <c r="K114" s="11"/>
      <c r="L114" s="11"/>
      <c r="N114" s="4" t="str">
        <f t="array" ref="N114">iferror(transpose(INDIRECT(SUBSTITUTE($C114," ","_"))),"")</f>
        <v/>
      </c>
      <c r="Z114" s="4" t="str">
        <f t="array" ref="Z114">iferror(transpose(INDIRECT(SUBSTITUTE($D114," ","_"))),"")</f>
        <v/>
      </c>
    </row>
    <row r="115" ht="15.75" customHeight="1">
      <c r="A115" s="11"/>
      <c r="B115" s="11"/>
      <c r="C115" s="4" t="str">
        <f t="array" ref="C115">iferror(INDEX(Fixtures_Results!$E$2:$F$12,MATCH($A115,Fixtures_Results!$A$2:$A$12,0),MATCH("BatTeam"&amp;$B115,Fixtures_Results!$E$1:$F$1,0)),"")</f>
        <v/>
      </c>
      <c r="D115" s="4" t="str">
        <f t="array" ref="D115">iferror(INDEX(Fixtures_Results!$E$2:$F$12,MATCH($A115,Fixtures_Results!$A$2:$A$12,0),MATCH("BatTeam"&amp;2*1/$B115,Fixtures_Results!$E$1:$F$1,0)),"")</f>
        <v/>
      </c>
      <c r="E115" s="6"/>
      <c r="F115" s="11"/>
      <c r="G115" s="11"/>
      <c r="H115" s="11"/>
      <c r="I115" s="11"/>
      <c r="J115" s="6"/>
      <c r="K115" s="11"/>
      <c r="L115" s="11"/>
      <c r="N115" s="4" t="str">
        <f t="array" ref="N115">iferror(transpose(INDIRECT(SUBSTITUTE($C115," ","_"))),"")</f>
        <v/>
      </c>
      <c r="Z115" s="4" t="str">
        <f t="array" ref="Z115">iferror(transpose(INDIRECT(SUBSTITUTE($D115," ","_"))),"")</f>
        <v/>
      </c>
    </row>
    <row r="116" ht="15.75" customHeight="1">
      <c r="A116" s="11"/>
      <c r="B116" s="11"/>
      <c r="C116" s="4" t="str">
        <f t="array" ref="C116">iferror(INDEX(Fixtures_Results!$E$2:$F$12,MATCH($A116,Fixtures_Results!$A$2:$A$12,0),MATCH("BatTeam"&amp;$B116,Fixtures_Results!$E$1:$F$1,0)),"")</f>
        <v/>
      </c>
      <c r="D116" s="4" t="str">
        <f t="array" ref="D116">iferror(INDEX(Fixtures_Results!$E$2:$F$12,MATCH($A116,Fixtures_Results!$A$2:$A$12,0),MATCH("BatTeam"&amp;2*1/$B116,Fixtures_Results!$E$1:$F$1,0)),"")</f>
        <v/>
      </c>
      <c r="E116" s="6"/>
      <c r="F116" s="11"/>
      <c r="G116" s="11"/>
      <c r="H116" s="11"/>
      <c r="I116" s="11"/>
      <c r="J116" s="6"/>
      <c r="K116" s="11"/>
      <c r="L116" s="11"/>
      <c r="N116" s="4" t="str">
        <f t="array" ref="N116">iferror(transpose(INDIRECT(SUBSTITUTE($C116," ","_"))),"")</f>
        <v/>
      </c>
      <c r="Z116" s="4" t="str">
        <f t="array" ref="Z116">iferror(transpose(INDIRECT(SUBSTITUTE($D116," ","_"))),"")</f>
        <v/>
      </c>
    </row>
    <row r="117" ht="15.75" customHeight="1">
      <c r="A117" s="11"/>
      <c r="B117" s="11"/>
      <c r="C117" s="4" t="str">
        <f t="array" ref="C117">iferror(INDEX(Fixtures_Results!$E$2:$F$12,MATCH($A117,Fixtures_Results!$A$2:$A$12,0),MATCH("BatTeam"&amp;$B117,Fixtures_Results!$E$1:$F$1,0)),"")</f>
        <v/>
      </c>
      <c r="D117" s="4" t="str">
        <f t="array" ref="D117">iferror(INDEX(Fixtures_Results!$E$2:$F$12,MATCH($A117,Fixtures_Results!$A$2:$A$12,0),MATCH("BatTeam"&amp;2*1/$B117,Fixtures_Results!$E$1:$F$1,0)),"")</f>
        <v/>
      </c>
      <c r="E117" s="6"/>
      <c r="F117" s="11"/>
      <c r="G117" s="11"/>
      <c r="H117" s="11"/>
      <c r="I117" s="11"/>
      <c r="J117" s="6"/>
      <c r="K117" s="11"/>
      <c r="L117" s="11"/>
      <c r="N117" s="4" t="str">
        <f t="array" ref="N117">iferror(transpose(INDIRECT(SUBSTITUTE($C117," ","_"))),"")</f>
        <v/>
      </c>
      <c r="Z117" s="4" t="str">
        <f t="array" ref="Z117">iferror(transpose(INDIRECT(SUBSTITUTE($D117," ","_"))),"")</f>
        <v/>
      </c>
    </row>
    <row r="118" ht="15.75" customHeight="1">
      <c r="A118" s="11"/>
      <c r="B118" s="11"/>
      <c r="C118" s="4" t="str">
        <f t="array" ref="C118">iferror(INDEX(Fixtures_Results!$E$2:$F$12,MATCH($A118,Fixtures_Results!$A$2:$A$12,0),MATCH("BatTeam"&amp;$B118,Fixtures_Results!$E$1:$F$1,0)),"")</f>
        <v/>
      </c>
      <c r="D118" s="4" t="str">
        <f t="array" ref="D118">iferror(INDEX(Fixtures_Results!$E$2:$F$12,MATCH($A118,Fixtures_Results!$A$2:$A$12,0),MATCH("BatTeam"&amp;2*1/$B118,Fixtures_Results!$E$1:$F$1,0)),"")</f>
        <v/>
      </c>
      <c r="E118" s="6"/>
      <c r="F118" s="11"/>
      <c r="G118" s="11"/>
      <c r="H118" s="11"/>
      <c r="I118" s="11"/>
      <c r="J118" s="6"/>
      <c r="K118" s="11"/>
      <c r="L118" s="11"/>
      <c r="N118" s="4" t="str">
        <f t="array" ref="N118">iferror(transpose(INDIRECT(SUBSTITUTE($C118," ","_"))),"")</f>
        <v/>
      </c>
      <c r="Z118" s="4" t="str">
        <f t="array" ref="Z118">iferror(transpose(INDIRECT(SUBSTITUTE($D118," ","_"))),"")</f>
        <v/>
      </c>
    </row>
    <row r="119" ht="15.75" customHeight="1">
      <c r="A119" s="11"/>
      <c r="B119" s="11"/>
      <c r="C119" s="4" t="str">
        <f t="array" ref="C119">iferror(INDEX(Fixtures_Results!$E$2:$F$12,MATCH($A119,Fixtures_Results!$A$2:$A$12,0),MATCH("BatTeam"&amp;$B119,Fixtures_Results!$E$1:$F$1,0)),"")</f>
        <v/>
      </c>
      <c r="D119" s="4" t="str">
        <f t="array" ref="D119">iferror(INDEX(Fixtures_Results!$E$2:$F$12,MATCH($A119,Fixtures_Results!$A$2:$A$12,0),MATCH("BatTeam"&amp;2*1/$B119,Fixtures_Results!$E$1:$F$1,0)),"")</f>
        <v/>
      </c>
      <c r="E119" s="6"/>
      <c r="F119" s="11"/>
      <c r="G119" s="11"/>
      <c r="H119" s="11"/>
      <c r="I119" s="11"/>
      <c r="J119" s="6"/>
      <c r="K119" s="11"/>
      <c r="L119" s="11"/>
      <c r="N119" s="4" t="str">
        <f t="array" ref="N119">iferror(transpose(INDIRECT(SUBSTITUTE($C119," ","_"))),"")</f>
        <v/>
      </c>
      <c r="Z119" s="4" t="str">
        <f t="array" ref="Z119">iferror(transpose(INDIRECT(SUBSTITUTE($D119," ","_"))),"")</f>
        <v/>
      </c>
    </row>
    <row r="120" ht="15.75" customHeight="1">
      <c r="A120" s="11"/>
      <c r="B120" s="11"/>
      <c r="C120" s="4" t="str">
        <f t="array" ref="C120">iferror(INDEX(Fixtures_Results!$E$2:$F$12,MATCH($A120,Fixtures_Results!$A$2:$A$12,0),MATCH("BatTeam"&amp;$B120,Fixtures_Results!$E$1:$F$1,0)),"")</f>
        <v/>
      </c>
      <c r="D120" s="4" t="str">
        <f t="array" ref="D120">iferror(INDEX(Fixtures_Results!$E$2:$F$12,MATCH($A120,Fixtures_Results!$A$2:$A$12,0),MATCH("BatTeam"&amp;2*1/$B120,Fixtures_Results!$E$1:$F$1,0)),"")</f>
        <v/>
      </c>
      <c r="E120" s="6"/>
      <c r="F120" s="11"/>
      <c r="G120" s="11"/>
      <c r="H120" s="11"/>
      <c r="I120" s="11"/>
      <c r="J120" s="6"/>
      <c r="K120" s="11"/>
      <c r="L120" s="11"/>
      <c r="N120" s="4" t="str">
        <f t="array" ref="N120">iferror(transpose(INDIRECT(SUBSTITUTE($C120," ","_"))),"")</f>
        <v/>
      </c>
      <c r="Z120" s="4" t="str">
        <f t="array" ref="Z120">iferror(transpose(INDIRECT(SUBSTITUTE($D120," ","_"))),"")</f>
        <v/>
      </c>
    </row>
    <row r="121" ht="15.75" customHeight="1">
      <c r="A121" s="11"/>
      <c r="B121" s="11"/>
      <c r="C121" s="4" t="str">
        <f t="array" ref="C121">iferror(INDEX(Fixtures_Results!$E$2:$F$12,MATCH($A121,Fixtures_Results!$A$2:$A$12,0),MATCH("BatTeam"&amp;$B121,Fixtures_Results!$E$1:$F$1,0)),"")</f>
        <v/>
      </c>
      <c r="D121" s="4" t="str">
        <f t="array" ref="D121">iferror(INDEX(Fixtures_Results!$E$2:$F$12,MATCH($A121,Fixtures_Results!$A$2:$A$12,0),MATCH("BatTeam"&amp;2*1/$B121,Fixtures_Results!$E$1:$F$1,0)),"")</f>
        <v/>
      </c>
      <c r="E121" s="6"/>
      <c r="F121" s="11"/>
      <c r="G121" s="11"/>
      <c r="H121" s="11"/>
      <c r="I121" s="11"/>
      <c r="J121" s="6"/>
      <c r="K121" s="11"/>
      <c r="L121" s="11"/>
      <c r="N121" s="4" t="str">
        <f t="array" ref="N121">iferror(transpose(INDIRECT(SUBSTITUTE($C121," ","_"))),"")</f>
        <v/>
      </c>
      <c r="Z121" s="4" t="str">
        <f t="array" ref="Z121">iferror(transpose(INDIRECT(SUBSTITUTE($D121," ","_"))),"")</f>
        <v/>
      </c>
    </row>
    <row r="122" ht="15.75" customHeight="1">
      <c r="A122" s="11"/>
      <c r="B122" s="11"/>
      <c r="C122" s="4" t="str">
        <f t="array" ref="C122">iferror(INDEX(Fixtures_Results!$E$2:$F$12,MATCH($A122,Fixtures_Results!$A$2:$A$12,0),MATCH("BatTeam"&amp;$B122,Fixtures_Results!$E$1:$F$1,0)),"")</f>
        <v/>
      </c>
      <c r="D122" s="4" t="str">
        <f t="array" ref="D122">iferror(INDEX(Fixtures_Results!$E$2:$F$12,MATCH($A122,Fixtures_Results!$A$2:$A$12,0),MATCH("BatTeam"&amp;2*1/$B122,Fixtures_Results!$E$1:$F$1,0)),"")</f>
        <v/>
      </c>
      <c r="E122" s="6"/>
      <c r="F122" s="11"/>
      <c r="G122" s="11"/>
      <c r="H122" s="11"/>
      <c r="I122" s="11"/>
      <c r="J122" s="6"/>
      <c r="K122" s="11"/>
      <c r="L122" s="11"/>
      <c r="N122" s="4" t="str">
        <f t="array" ref="N122">iferror(transpose(INDIRECT(SUBSTITUTE($C122," ","_"))),"")</f>
        <v/>
      </c>
      <c r="Z122" s="4" t="str">
        <f t="array" ref="Z122">iferror(transpose(INDIRECT(SUBSTITUTE($D122," ","_"))),"")</f>
        <v/>
      </c>
    </row>
    <row r="123" ht="15.75" customHeight="1">
      <c r="A123" s="11"/>
      <c r="B123" s="11"/>
      <c r="C123" s="4" t="str">
        <f t="array" ref="C123">iferror(INDEX(Fixtures_Results!$E$2:$F$12,MATCH($A123,Fixtures_Results!$A$2:$A$12,0),MATCH("BatTeam"&amp;$B123,Fixtures_Results!$E$1:$F$1,0)),"")</f>
        <v/>
      </c>
      <c r="D123" s="4" t="str">
        <f t="array" ref="D123">iferror(INDEX(Fixtures_Results!$E$2:$F$12,MATCH($A123,Fixtures_Results!$A$2:$A$12,0),MATCH("BatTeam"&amp;2*1/$B123,Fixtures_Results!$E$1:$F$1,0)),"")</f>
        <v/>
      </c>
      <c r="E123" s="6"/>
      <c r="F123" s="11"/>
      <c r="G123" s="11"/>
      <c r="H123" s="11"/>
      <c r="I123" s="11"/>
      <c r="J123" s="6"/>
      <c r="K123" s="11"/>
      <c r="L123" s="11"/>
      <c r="N123" s="4" t="str">
        <f t="array" ref="N123">iferror(transpose(INDIRECT(SUBSTITUTE($C123," ","_"))),"")</f>
        <v/>
      </c>
      <c r="Z123" s="4" t="str">
        <f t="array" ref="Z123">iferror(transpose(INDIRECT(SUBSTITUTE($D123," ","_"))),"")</f>
        <v/>
      </c>
    </row>
    <row r="124" ht="15.75" customHeight="1">
      <c r="A124" s="11"/>
      <c r="B124" s="11"/>
      <c r="C124" s="4" t="str">
        <f t="array" ref="C124">iferror(INDEX(Fixtures_Results!$E$2:$F$12,MATCH($A124,Fixtures_Results!$A$2:$A$12,0),MATCH("BatTeam"&amp;$B124,Fixtures_Results!$E$1:$F$1,0)),"")</f>
        <v/>
      </c>
      <c r="D124" s="4" t="str">
        <f t="array" ref="D124">iferror(INDEX(Fixtures_Results!$E$2:$F$12,MATCH($A124,Fixtures_Results!$A$2:$A$12,0),MATCH("BatTeam"&amp;2*1/$B124,Fixtures_Results!$E$1:$F$1,0)),"")</f>
        <v/>
      </c>
      <c r="E124" s="6"/>
      <c r="F124" s="11"/>
      <c r="G124" s="11"/>
      <c r="H124" s="11"/>
      <c r="I124" s="11"/>
      <c r="J124" s="6"/>
      <c r="K124" s="11"/>
      <c r="L124" s="11"/>
      <c r="N124" s="4" t="str">
        <f t="array" ref="N124">iferror(transpose(INDIRECT(SUBSTITUTE($C124," ","_"))),"")</f>
        <v/>
      </c>
      <c r="Z124" s="4" t="str">
        <f t="array" ref="Z124">iferror(transpose(INDIRECT(SUBSTITUTE($D124," ","_"))),"")</f>
        <v/>
      </c>
    </row>
    <row r="125" ht="15.75" customHeight="1">
      <c r="A125" s="11"/>
      <c r="B125" s="11"/>
      <c r="C125" s="4" t="str">
        <f t="array" ref="C125">iferror(INDEX(Fixtures_Results!$E$2:$F$12,MATCH($A125,Fixtures_Results!$A$2:$A$12,0),MATCH("BatTeam"&amp;$B125,Fixtures_Results!$E$1:$F$1,0)),"")</f>
        <v/>
      </c>
      <c r="D125" s="4" t="str">
        <f t="array" ref="D125">iferror(INDEX(Fixtures_Results!$E$2:$F$12,MATCH($A125,Fixtures_Results!$A$2:$A$12,0),MATCH("BatTeam"&amp;2*1/$B125,Fixtures_Results!$E$1:$F$1,0)),"")</f>
        <v/>
      </c>
      <c r="E125" s="6"/>
      <c r="F125" s="11"/>
      <c r="G125" s="11"/>
      <c r="H125" s="11"/>
      <c r="I125" s="11"/>
      <c r="J125" s="6"/>
      <c r="K125" s="11"/>
      <c r="L125" s="11"/>
      <c r="N125" s="4" t="str">
        <f t="array" ref="N125">iferror(transpose(INDIRECT(SUBSTITUTE($C125," ","_"))),"")</f>
        <v/>
      </c>
      <c r="Z125" s="4" t="str">
        <f t="array" ref="Z125">iferror(transpose(INDIRECT(SUBSTITUTE($D125," ","_"))),"")</f>
        <v/>
      </c>
    </row>
    <row r="126" ht="15.75" customHeight="1">
      <c r="A126" s="11"/>
      <c r="B126" s="11"/>
      <c r="C126" s="4" t="str">
        <f t="array" ref="C126">iferror(INDEX(Fixtures_Results!$E$2:$F$12,MATCH($A126,Fixtures_Results!$A$2:$A$12,0),MATCH("BatTeam"&amp;$B126,Fixtures_Results!$E$1:$F$1,0)),"")</f>
        <v/>
      </c>
      <c r="D126" s="4" t="str">
        <f t="array" ref="D126">iferror(INDEX(Fixtures_Results!$E$2:$F$12,MATCH($A126,Fixtures_Results!$A$2:$A$12,0),MATCH("BatTeam"&amp;2*1/$B126,Fixtures_Results!$E$1:$F$1,0)),"")</f>
        <v/>
      </c>
      <c r="E126" s="6"/>
      <c r="F126" s="11"/>
      <c r="G126" s="11"/>
      <c r="H126" s="11"/>
      <c r="I126" s="11"/>
      <c r="J126" s="6"/>
      <c r="K126" s="11"/>
      <c r="L126" s="11"/>
      <c r="N126" s="4" t="str">
        <f t="array" ref="N126">iferror(transpose(INDIRECT(SUBSTITUTE($C126," ","_"))),"")</f>
        <v/>
      </c>
      <c r="Z126" s="4" t="str">
        <f t="array" ref="Z126">iferror(transpose(INDIRECT(SUBSTITUTE($D126," ","_"))),"")</f>
        <v/>
      </c>
    </row>
    <row r="127" ht="15.75" customHeight="1">
      <c r="A127" s="11"/>
      <c r="B127" s="11"/>
      <c r="C127" s="4" t="str">
        <f t="array" ref="C127">iferror(INDEX(Fixtures_Results!$E$2:$F$12,MATCH($A127,Fixtures_Results!$A$2:$A$12,0),MATCH("BatTeam"&amp;$B127,Fixtures_Results!$E$1:$F$1,0)),"")</f>
        <v/>
      </c>
      <c r="D127" s="4" t="str">
        <f t="array" ref="D127">iferror(INDEX(Fixtures_Results!$E$2:$F$12,MATCH($A127,Fixtures_Results!$A$2:$A$12,0),MATCH("BatTeam"&amp;2*1/$B127,Fixtures_Results!$E$1:$F$1,0)),"")</f>
        <v/>
      </c>
      <c r="E127" s="6"/>
      <c r="F127" s="11"/>
      <c r="G127" s="11"/>
      <c r="H127" s="11"/>
      <c r="I127" s="11"/>
      <c r="J127" s="6"/>
      <c r="K127" s="11"/>
      <c r="L127" s="11"/>
      <c r="N127" s="4" t="str">
        <f t="array" ref="N127">iferror(transpose(INDIRECT(SUBSTITUTE($C127," ","_"))),"")</f>
        <v/>
      </c>
      <c r="Z127" s="4" t="str">
        <f t="array" ref="Z127">iferror(transpose(INDIRECT(SUBSTITUTE($D127," ","_"))),"")</f>
        <v/>
      </c>
    </row>
    <row r="128" ht="15.75" customHeight="1">
      <c r="A128" s="11"/>
      <c r="B128" s="11"/>
      <c r="C128" s="4" t="str">
        <f t="array" ref="C128">iferror(INDEX(Fixtures_Results!$E$2:$F$12,MATCH($A128,Fixtures_Results!$A$2:$A$12,0),MATCH("BatTeam"&amp;$B128,Fixtures_Results!$E$1:$F$1,0)),"")</f>
        <v/>
      </c>
      <c r="D128" s="4" t="str">
        <f t="array" ref="D128">iferror(INDEX(Fixtures_Results!$E$2:$F$12,MATCH($A128,Fixtures_Results!$A$2:$A$12,0),MATCH("BatTeam"&amp;2*1/$B128,Fixtures_Results!$E$1:$F$1,0)),"")</f>
        <v/>
      </c>
      <c r="E128" s="6"/>
      <c r="F128" s="11"/>
      <c r="G128" s="11"/>
      <c r="H128" s="11"/>
      <c r="I128" s="11"/>
      <c r="J128" s="6"/>
      <c r="K128" s="11"/>
      <c r="L128" s="11"/>
      <c r="N128" s="4" t="str">
        <f t="array" ref="N128">iferror(transpose(INDIRECT(SUBSTITUTE($C128," ","_"))),"")</f>
        <v/>
      </c>
      <c r="Z128" s="4" t="str">
        <f t="array" ref="Z128">iferror(transpose(INDIRECT(SUBSTITUTE($D128," ","_"))),"")</f>
        <v/>
      </c>
    </row>
    <row r="129" ht="15.75" customHeight="1">
      <c r="A129" s="11"/>
      <c r="B129" s="11"/>
      <c r="C129" s="4" t="str">
        <f t="array" ref="C129">iferror(INDEX(Fixtures_Results!$E$2:$F$12,MATCH($A129,Fixtures_Results!$A$2:$A$12,0),MATCH("BatTeam"&amp;$B129,Fixtures_Results!$E$1:$F$1,0)),"")</f>
        <v/>
      </c>
      <c r="D129" s="4" t="str">
        <f t="array" ref="D129">iferror(INDEX(Fixtures_Results!$E$2:$F$12,MATCH($A129,Fixtures_Results!$A$2:$A$12,0),MATCH("BatTeam"&amp;2*1/$B129,Fixtures_Results!$E$1:$F$1,0)),"")</f>
        <v/>
      </c>
      <c r="E129" s="6"/>
      <c r="F129" s="11"/>
      <c r="G129" s="11"/>
      <c r="H129" s="11"/>
      <c r="I129" s="11"/>
      <c r="J129" s="6"/>
      <c r="K129" s="11"/>
      <c r="L129" s="11"/>
      <c r="N129" s="4" t="str">
        <f t="array" ref="N129">iferror(transpose(INDIRECT(SUBSTITUTE($C129," ","_"))),"")</f>
        <v/>
      </c>
      <c r="Z129" s="4" t="str">
        <f t="array" ref="Z129">iferror(transpose(INDIRECT(SUBSTITUTE($D129," ","_"))),"")</f>
        <v/>
      </c>
    </row>
    <row r="130" ht="15.75" customHeight="1">
      <c r="A130" s="11"/>
      <c r="B130" s="11"/>
      <c r="C130" s="4" t="str">
        <f t="array" ref="C130">iferror(INDEX(Fixtures_Results!$E$2:$F$12,MATCH($A130,Fixtures_Results!$A$2:$A$12,0),MATCH("BatTeam"&amp;$B130,Fixtures_Results!$E$1:$F$1,0)),"")</f>
        <v/>
      </c>
      <c r="D130" s="4" t="str">
        <f t="array" ref="D130">iferror(INDEX(Fixtures_Results!$E$2:$F$12,MATCH($A130,Fixtures_Results!$A$2:$A$12,0),MATCH("BatTeam"&amp;2*1/$B130,Fixtures_Results!$E$1:$F$1,0)),"")</f>
        <v/>
      </c>
      <c r="E130" s="6"/>
      <c r="F130" s="11"/>
      <c r="G130" s="11"/>
      <c r="H130" s="11"/>
      <c r="I130" s="11"/>
      <c r="J130" s="6"/>
      <c r="K130" s="11"/>
      <c r="L130" s="11"/>
      <c r="N130" s="4" t="str">
        <f t="array" ref="N130">iferror(transpose(INDIRECT(SUBSTITUTE($C130," ","_"))),"")</f>
        <v/>
      </c>
      <c r="Z130" s="4" t="str">
        <f t="array" ref="Z130">iferror(transpose(INDIRECT(SUBSTITUTE($D130," ","_"))),"")</f>
        <v/>
      </c>
    </row>
    <row r="131" ht="15.75" customHeight="1">
      <c r="A131" s="11"/>
      <c r="B131" s="11"/>
      <c r="C131" s="4" t="str">
        <f t="array" ref="C131">iferror(INDEX(Fixtures_Results!$E$2:$F$12,MATCH($A131,Fixtures_Results!$A$2:$A$12,0),MATCH("BatTeam"&amp;$B131,Fixtures_Results!$E$1:$F$1,0)),"")</f>
        <v/>
      </c>
      <c r="D131" s="4" t="str">
        <f t="array" ref="D131">iferror(INDEX(Fixtures_Results!$E$2:$F$12,MATCH($A131,Fixtures_Results!$A$2:$A$12,0),MATCH("BatTeam"&amp;2*1/$B131,Fixtures_Results!$E$1:$F$1,0)),"")</f>
        <v/>
      </c>
      <c r="E131" s="6"/>
      <c r="F131" s="11"/>
      <c r="G131" s="11"/>
      <c r="H131" s="11"/>
      <c r="I131" s="11"/>
      <c r="J131" s="6"/>
      <c r="K131" s="11"/>
      <c r="L131" s="11"/>
      <c r="N131" s="4" t="str">
        <f t="array" ref="N131">iferror(transpose(INDIRECT(SUBSTITUTE($C131," ","_"))),"")</f>
        <v/>
      </c>
      <c r="Z131" s="4" t="str">
        <f t="array" ref="Z131">iferror(transpose(INDIRECT(SUBSTITUTE($D131," ","_"))),"")</f>
        <v/>
      </c>
    </row>
    <row r="132" ht="15.75" customHeight="1">
      <c r="A132" s="11"/>
      <c r="B132" s="11"/>
      <c r="C132" s="4" t="str">
        <f t="array" ref="C132">iferror(INDEX(Fixtures_Results!$E$2:$F$12,MATCH($A132,Fixtures_Results!$A$2:$A$12,0),MATCH("BatTeam"&amp;$B132,Fixtures_Results!$E$1:$F$1,0)),"")</f>
        <v/>
      </c>
      <c r="D132" s="4" t="str">
        <f t="array" ref="D132">iferror(INDEX(Fixtures_Results!$E$2:$F$12,MATCH($A132,Fixtures_Results!$A$2:$A$12,0),MATCH("BatTeam"&amp;2*1/$B132,Fixtures_Results!$E$1:$F$1,0)),"")</f>
        <v/>
      </c>
      <c r="E132" s="6"/>
      <c r="F132" s="11"/>
      <c r="G132" s="11"/>
      <c r="H132" s="11"/>
      <c r="I132" s="11"/>
      <c r="J132" s="6"/>
      <c r="K132" s="11"/>
      <c r="L132" s="11"/>
      <c r="N132" s="4" t="str">
        <f t="array" ref="N132">iferror(transpose(INDIRECT(SUBSTITUTE($C132," ","_"))),"")</f>
        <v/>
      </c>
      <c r="Z132" s="4" t="str">
        <f t="array" ref="Z132">iferror(transpose(INDIRECT(SUBSTITUTE($D132," ","_"))),"")</f>
        <v/>
      </c>
    </row>
    <row r="133" ht="15.75" customHeight="1">
      <c r="A133" s="11"/>
      <c r="B133" s="11"/>
      <c r="C133" s="4" t="str">
        <f t="array" ref="C133">iferror(INDEX(Fixtures_Results!$E$2:$F$12,MATCH($A133,Fixtures_Results!$A$2:$A$12,0),MATCH("BatTeam"&amp;$B133,Fixtures_Results!$E$1:$F$1,0)),"")</f>
        <v/>
      </c>
      <c r="D133" s="4" t="str">
        <f t="array" ref="D133">iferror(INDEX(Fixtures_Results!$E$2:$F$12,MATCH($A133,Fixtures_Results!$A$2:$A$12,0),MATCH("BatTeam"&amp;2*1/$B133,Fixtures_Results!$E$1:$F$1,0)),"")</f>
        <v/>
      </c>
      <c r="E133" s="6"/>
      <c r="F133" s="11"/>
      <c r="G133" s="11"/>
      <c r="H133" s="11"/>
      <c r="I133" s="11"/>
      <c r="J133" s="6"/>
      <c r="K133" s="11"/>
      <c r="L133" s="11"/>
      <c r="N133" s="4" t="str">
        <f t="array" ref="N133">iferror(transpose(INDIRECT(SUBSTITUTE($C133," ","_"))),"")</f>
        <v/>
      </c>
      <c r="Z133" s="4" t="str">
        <f t="array" ref="Z133">iferror(transpose(INDIRECT(SUBSTITUTE($D133," ","_"))),"")</f>
        <v/>
      </c>
    </row>
    <row r="134" ht="15.75" customHeight="1">
      <c r="A134" s="11"/>
      <c r="B134" s="11"/>
      <c r="C134" s="4" t="str">
        <f t="array" ref="C134">iferror(INDEX(Fixtures_Results!$E$2:$F$12,MATCH($A134,Fixtures_Results!$A$2:$A$12,0),MATCH("BatTeam"&amp;$B134,Fixtures_Results!$E$1:$F$1,0)),"")</f>
        <v/>
      </c>
      <c r="D134" s="4" t="str">
        <f t="array" ref="D134">iferror(INDEX(Fixtures_Results!$E$2:$F$12,MATCH($A134,Fixtures_Results!$A$2:$A$12,0),MATCH("BatTeam"&amp;2*1/$B134,Fixtures_Results!$E$1:$F$1,0)),"")</f>
        <v/>
      </c>
      <c r="E134" s="6"/>
      <c r="F134" s="11"/>
      <c r="G134" s="11"/>
      <c r="H134" s="11"/>
      <c r="I134" s="11"/>
      <c r="J134" s="6"/>
      <c r="K134" s="11"/>
      <c r="L134" s="11"/>
      <c r="N134" s="4" t="str">
        <f t="array" ref="N134">iferror(transpose(INDIRECT(SUBSTITUTE($C134," ","_"))),"")</f>
        <v/>
      </c>
      <c r="Z134" s="4" t="str">
        <f t="array" ref="Z134">iferror(transpose(INDIRECT(SUBSTITUTE($D134," ","_"))),"")</f>
        <v/>
      </c>
    </row>
    <row r="135" ht="15.75" customHeight="1">
      <c r="A135" s="11"/>
      <c r="B135" s="11"/>
      <c r="C135" s="4" t="str">
        <f t="array" ref="C135">iferror(INDEX(Fixtures_Results!$E$2:$F$12,MATCH($A135,Fixtures_Results!$A$2:$A$12,0),MATCH("BatTeam"&amp;$B135,Fixtures_Results!$E$1:$F$1,0)),"")</f>
        <v/>
      </c>
      <c r="D135" s="4" t="str">
        <f t="array" ref="D135">iferror(INDEX(Fixtures_Results!$E$2:$F$12,MATCH($A135,Fixtures_Results!$A$2:$A$12,0),MATCH("BatTeam"&amp;2*1/$B135,Fixtures_Results!$E$1:$F$1,0)),"")</f>
        <v/>
      </c>
      <c r="E135" s="6"/>
      <c r="F135" s="11"/>
      <c r="G135" s="11"/>
      <c r="H135" s="11"/>
      <c r="I135" s="11"/>
      <c r="J135" s="6"/>
      <c r="K135" s="11"/>
      <c r="L135" s="11"/>
      <c r="N135" s="4" t="str">
        <f t="array" ref="N135">iferror(transpose(INDIRECT(SUBSTITUTE($C135," ","_"))),"")</f>
        <v/>
      </c>
      <c r="Z135" s="4" t="str">
        <f t="array" ref="Z135">iferror(transpose(INDIRECT(SUBSTITUTE($D135," ","_"))),"")</f>
        <v/>
      </c>
    </row>
    <row r="136" ht="15.75" customHeight="1">
      <c r="A136" s="11"/>
      <c r="B136" s="11"/>
      <c r="C136" s="4" t="str">
        <f t="array" ref="C136">iferror(INDEX(Fixtures_Results!$E$2:$F$12,MATCH($A136,Fixtures_Results!$A$2:$A$12,0),MATCH("BatTeam"&amp;$B136,Fixtures_Results!$E$1:$F$1,0)),"")</f>
        <v/>
      </c>
      <c r="D136" s="4" t="str">
        <f t="array" ref="D136">iferror(INDEX(Fixtures_Results!$E$2:$F$12,MATCH($A136,Fixtures_Results!$A$2:$A$12,0),MATCH("BatTeam"&amp;2*1/$B136,Fixtures_Results!$E$1:$F$1,0)),"")</f>
        <v/>
      </c>
      <c r="E136" s="6"/>
      <c r="F136" s="11"/>
      <c r="G136" s="11"/>
      <c r="H136" s="11"/>
      <c r="I136" s="11"/>
      <c r="J136" s="6"/>
      <c r="K136" s="11"/>
      <c r="L136" s="11"/>
      <c r="N136" s="4" t="str">
        <f t="array" ref="N136">iferror(transpose(INDIRECT(SUBSTITUTE($C136," ","_"))),"")</f>
        <v/>
      </c>
      <c r="Z136" s="4" t="str">
        <f t="array" ref="Z136">iferror(transpose(INDIRECT(SUBSTITUTE($D136," ","_"))),"")</f>
        <v/>
      </c>
    </row>
    <row r="137" ht="15.75" customHeight="1">
      <c r="A137" s="11"/>
      <c r="B137" s="11"/>
      <c r="C137" s="4" t="str">
        <f t="array" ref="C137">iferror(INDEX(Fixtures_Results!$E$2:$F$12,MATCH($A137,Fixtures_Results!$A$2:$A$12,0),MATCH("BatTeam"&amp;$B137,Fixtures_Results!$E$1:$F$1,0)),"")</f>
        <v/>
      </c>
      <c r="D137" s="4" t="str">
        <f t="array" ref="D137">iferror(INDEX(Fixtures_Results!$E$2:$F$12,MATCH($A137,Fixtures_Results!$A$2:$A$12,0),MATCH("BatTeam"&amp;2*1/$B137,Fixtures_Results!$E$1:$F$1,0)),"")</f>
        <v/>
      </c>
      <c r="E137" s="6"/>
      <c r="F137" s="11"/>
      <c r="G137" s="11"/>
      <c r="H137" s="11"/>
      <c r="I137" s="11"/>
      <c r="J137" s="6"/>
      <c r="K137" s="11"/>
      <c r="L137" s="11"/>
      <c r="N137" s="4" t="str">
        <f t="array" ref="N137">iferror(transpose(INDIRECT(SUBSTITUTE($C137," ","_"))),"")</f>
        <v/>
      </c>
      <c r="Z137" s="4" t="str">
        <f t="array" ref="Z137">iferror(transpose(INDIRECT(SUBSTITUTE($D137," ","_"))),"")</f>
        <v/>
      </c>
    </row>
    <row r="138" ht="15.75" customHeight="1">
      <c r="A138" s="11"/>
      <c r="B138" s="11"/>
      <c r="C138" s="4" t="str">
        <f t="array" ref="C138">iferror(INDEX(Fixtures_Results!$E$2:$F$12,MATCH($A138,Fixtures_Results!$A$2:$A$12,0),MATCH("BatTeam"&amp;$B138,Fixtures_Results!$E$1:$F$1,0)),"")</f>
        <v/>
      </c>
      <c r="D138" s="4" t="str">
        <f t="array" ref="D138">iferror(INDEX(Fixtures_Results!$E$2:$F$12,MATCH($A138,Fixtures_Results!$A$2:$A$12,0),MATCH("BatTeam"&amp;2*1/$B138,Fixtures_Results!$E$1:$F$1,0)),"")</f>
        <v/>
      </c>
      <c r="E138" s="6"/>
      <c r="F138" s="11"/>
      <c r="G138" s="11"/>
      <c r="H138" s="11"/>
      <c r="I138" s="11"/>
      <c r="J138" s="6"/>
      <c r="K138" s="11"/>
      <c r="L138" s="11"/>
      <c r="N138" s="4" t="str">
        <f t="array" ref="N138">iferror(transpose(INDIRECT(SUBSTITUTE($C138," ","_"))),"")</f>
        <v/>
      </c>
      <c r="Z138" s="4" t="str">
        <f t="array" ref="Z138">iferror(transpose(INDIRECT(SUBSTITUTE($D138," ","_"))),"")</f>
        <v/>
      </c>
    </row>
    <row r="139" ht="15.75" customHeight="1">
      <c r="A139" s="11"/>
      <c r="B139" s="11"/>
      <c r="C139" s="4" t="str">
        <f t="array" ref="C139">iferror(INDEX(Fixtures_Results!$E$2:$F$12,MATCH($A139,Fixtures_Results!$A$2:$A$12,0),MATCH("BatTeam"&amp;$B139,Fixtures_Results!$E$1:$F$1,0)),"")</f>
        <v/>
      </c>
      <c r="D139" s="4" t="str">
        <f t="array" ref="D139">iferror(INDEX(Fixtures_Results!$E$2:$F$12,MATCH($A139,Fixtures_Results!$A$2:$A$12,0),MATCH("BatTeam"&amp;2*1/$B139,Fixtures_Results!$E$1:$F$1,0)),"")</f>
        <v/>
      </c>
      <c r="E139" s="6"/>
      <c r="F139" s="11"/>
      <c r="G139" s="11"/>
      <c r="H139" s="11"/>
      <c r="I139" s="11"/>
      <c r="J139" s="6"/>
      <c r="K139" s="11"/>
      <c r="L139" s="11"/>
      <c r="N139" s="4" t="str">
        <f t="array" ref="N139">iferror(transpose(INDIRECT(SUBSTITUTE($C139," ","_"))),"")</f>
        <v/>
      </c>
      <c r="Z139" s="4" t="str">
        <f t="array" ref="Z139">iferror(transpose(INDIRECT(SUBSTITUTE($D139," ","_"))),"")</f>
        <v/>
      </c>
    </row>
    <row r="140" ht="15.75" customHeight="1">
      <c r="A140" s="11"/>
      <c r="B140" s="11"/>
      <c r="C140" s="4" t="str">
        <f t="array" ref="C140">iferror(INDEX(Fixtures_Results!$E$2:$F$12,MATCH($A140,Fixtures_Results!$A$2:$A$12,0),MATCH("BatTeam"&amp;$B140,Fixtures_Results!$E$1:$F$1,0)),"")</f>
        <v/>
      </c>
      <c r="D140" s="4" t="str">
        <f t="array" ref="D140">iferror(INDEX(Fixtures_Results!$E$2:$F$12,MATCH($A140,Fixtures_Results!$A$2:$A$12,0),MATCH("BatTeam"&amp;2*1/$B140,Fixtures_Results!$E$1:$F$1,0)),"")</f>
        <v/>
      </c>
      <c r="E140" s="6"/>
      <c r="F140" s="11"/>
      <c r="G140" s="11"/>
      <c r="H140" s="11"/>
      <c r="I140" s="11"/>
      <c r="J140" s="6"/>
      <c r="K140" s="11"/>
      <c r="L140" s="11"/>
      <c r="N140" s="4" t="str">
        <f t="array" ref="N140">iferror(transpose(INDIRECT(SUBSTITUTE($C140," ","_"))),"")</f>
        <v/>
      </c>
      <c r="Z140" s="4" t="str">
        <f t="array" ref="Z140">iferror(transpose(INDIRECT(SUBSTITUTE($D140," ","_"))),"")</f>
        <v/>
      </c>
    </row>
    <row r="141" ht="15.75" customHeight="1">
      <c r="A141" s="11"/>
      <c r="B141" s="11"/>
      <c r="C141" s="4" t="str">
        <f t="array" ref="C141">iferror(INDEX(Fixtures_Results!$E$2:$F$12,MATCH($A141,Fixtures_Results!$A$2:$A$12,0),MATCH("BatTeam"&amp;$B141,Fixtures_Results!$E$1:$F$1,0)),"")</f>
        <v/>
      </c>
      <c r="D141" s="4" t="str">
        <f t="array" ref="D141">iferror(INDEX(Fixtures_Results!$E$2:$F$12,MATCH($A141,Fixtures_Results!$A$2:$A$12,0),MATCH("BatTeam"&amp;2*1/$B141,Fixtures_Results!$E$1:$F$1,0)),"")</f>
        <v/>
      </c>
      <c r="E141" s="6"/>
      <c r="F141" s="11"/>
      <c r="G141" s="11"/>
      <c r="H141" s="11"/>
      <c r="I141" s="11"/>
      <c r="J141" s="6"/>
      <c r="K141" s="11"/>
      <c r="L141" s="11"/>
      <c r="N141" s="4" t="str">
        <f t="array" ref="N141">iferror(transpose(INDIRECT(SUBSTITUTE($C141," ","_"))),"")</f>
        <v/>
      </c>
      <c r="Z141" s="4" t="str">
        <f t="array" ref="Z141">iferror(transpose(INDIRECT(SUBSTITUTE($D141," ","_"))),"")</f>
        <v/>
      </c>
    </row>
    <row r="142" ht="15.75" customHeight="1">
      <c r="A142" s="11"/>
      <c r="B142" s="11"/>
      <c r="C142" s="4" t="str">
        <f t="array" ref="C142">iferror(INDEX(Fixtures_Results!$E$2:$F$12,MATCH($A142,Fixtures_Results!$A$2:$A$12,0),MATCH("BatTeam"&amp;$B142,Fixtures_Results!$E$1:$F$1,0)),"")</f>
        <v/>
      </c>
      <c r="D142" s="4" t="str">
        <f t="array" ref="D142">iferror(INDEX(Fixtures_Results!$E$2:$F$12,MATCH($A142,Fixtures_Results!$A$2:$A$12,0),MATCH("BatTeam"&amp;2*1/$B142,Fixtures_Results!$E$1:$F$1,0)),"")</f>
        <v/>
      </c>
      <c r="E142" s="6"/>
      <c r="F142" s="11"/>
      <c r="G142" s="11"/>
      <c r="H142" s="11"/>
      <c r="I142" s="11"/>
      <c r="J142" s="6"/>
      <c r="K142" s="11"/>
      <c r="L142" s="11"/>
      <c r="N142" s="4" t="str">
        <f t="array" ref="N142">iferror(transpose(INDIRECT(SUBSTITUTE($C142," ","_"))),"")</f>
        <v/>
      </c>
      <c r="Z142" s="4" t="str">
        <f t="array" ref="Z142">iferror(transpose(INDIRECT(SUBSTITUTE($D142," ","_"))),"")</f>
        <v/>
      </c>
    </row>
    <row r="143" ht="15.75" customHeight="1">
      <c r="A143" s="11"/>
      <c r="B143" s="11"/>
      <c r="C143" s="4" t="str">
        <f t="array" ref="C143">iferror(INDEX(Fixtures_Results!$E$2:$F$12,MATCH($A143,Fixtures_Results!$A$2:$A$12,0),MATCH("BatTeam"&amp;$B143,Fixtures_Results!$E$1:$F$1,0)),"")</f>
        <v/>
      </c>
      <c r="D143" s="4" t="str">
        <f t="array" ref="D143">iferror(INDEX(Fixtures_Results!$E$2:$F$12,MATCH($A143,Fixtures_Results!$A$2:$A$12,0),MATCH("BatTeam"&amp;2*1/$B143,Fixtures_Results!$E$1:$F$1,0)),"")</f>
        <v/>
      </c>
      <c r="E143" s="6"/>
      <c r="F143" s="11"/>
      <c r="G143" s="11"/>
      <c r="H143" s="11"/>
      <c r="I143" s="11"/>
      <c r="J143" s="6"/>
      <c r="K143" s="11"/>
      <c r="L143" s="11"/>
      <c r="N143" s="4" t="str">
        <f t="array" ref="N143">iferror(transpose(INDIRECT(SUBSTITUTE($C143," ","_"))),"")</f>
        <v/>
      </c>
      <c r="Z143" s="4" t="str">
        <f t="array" ref="Z143">iferror(transpose(INDIRECT(SUBSTITUTE($D143," ","_"))),"")</f>
        <v/>
      </c>
    </row>
    <row r="144" ht="15.75" customHeight="1">
      <c r="A144" s="11"/>
      <c r="B144" s="11"/>
      <c r="C144" s="4" t="str">
        <f t="array" ref="C144">iferror(INDEX(Fixtures_Results!$E$2:$F$12,MATCH($A144,Fixtures_Results!$A$2:$A$12,0),MATCH("BatTeam"&amp;$B144,Fixtures_Results!$E$1:$F$1,0)),"")</f>
        <v/>
      </c>
      <c r="D144" s="4" t="str">
        <f t="array" ref="D144">iferror(INDEX(Fixtures_Results!$E$2:$F$12,MATCH($A144,Fixtures_Results!$A$2:$A$12,0),MATCH("BatTeam"&amp;2*1/$B144,Fixtures_Results!$E$1:$F$1,0)),"")</f>
        <v/>
      </c>
      <c r="E144" s="6"/>
      <c r="F144" s="11"/>
      <c r="G144" s="11"/>
      <c r="H144" s="11"/>
      <c r="I144" s="11"/>
      <c r="J144" s="6"/>
      <c r="K144" s="11"/>
      <c r="L144" s="11"/>
      <c r="N144" s="4" t="str">
        <f t="array" ref="N144">iferror(transpose(INDIRECT(SUBSTITUTE($C144," ","_"))),"")</f>
        <v/>
      </c>
      <c r="Z144" s="4" t="str">
        <f t="array" ref="Z144">iferror(transpose(INDIRECT(SUBSTITUTE($D144," ","_"))),"")</f>
        <v/>
      </c>
    </row>
    <row r="145" ht="15.75" customHeight="1">
      <c r="A145" s="11"/>
      <c r="B145" s="11"/>
      <c r="C145" s="4" t="str">
        <f t="array" ref="C145">iferror(INDEX(Fixtures_Results!$E$2:$F$12,MATCH($A145,Fixtures_Results!$A$2:$A$12,0),MATCH("BatTeam"&amp;$B145,Fixtures_Results!$E$1:$F$1,0)),"")</f>
        <v/>
      </c>
      <c r="D145" s="4" t="str">
        <f t="array" ref="D145">iferror(INDEX(Fixtures_Results!$E$2:$F$12,MATCH($A145,Fixtures_Results!$A$2:$A$12,0),MATCH("BatTeam"&amp;2*1/$B145,Fixtures_Results!$E$1:$F$1,0)),"")</f>
        <v/>
      </c>
      <c r="E145" s="6"/>
      <c r="F145" s="11"/>
      <c r="G145" s="11"/>
      <c r="H145" s="11"/>
      <c r="I145" s="11"/>
      <c r="J145" s="6"/>
      <c r="K145" s="11"/>
      <c r="L145" s="11"/>
      <c r="N145" s="4" t="str">
        <f t="array" ref="N145">iferror(transpose(INDIRECT(SUBSTITUTE($C145," ","_"))),"")</f>
        <v/>
      </c>
      <c r="Z145" s="4" t="str">
        <f t="array" ref="Z145">iferror(transpose(INDIRECT(SUBSTITUTE($D145," ","_"))),"")</f>
        <v/>
      </c>
    </row>
    <row r="146" ht="15.75" customHeight="1">
      <c r="A146" s="11"/>
      <c r="B146" s="11"/>
      <c r="C146" s="4" t="str">
        <f t="array" ref="C146">iferror(INDEX(Fixtures_Results!$E$2:$F$12,MATCH($A146,Fixtures_Results!$A$2:$A$12,0),MATCH("BatTeam"&amp;$B146,Fixtures_Results!$E$1:$F$1,0)),"")</f>
        <v/>
      </c>
      <c r="D146" s="4" t="str">
        <f t="array" ref="D146">iferror(INDEX(Fixtures_Results!$E$2:$F$12,MATCH($A146,Fixtures_Results!$A$2:$A$12,0),MATCH("BatTeam"&amp;2*1/$B146,Fixtures_Results!$E$1:$F$1,0)),"")</f>
        <v/>
      </c>
      <c r="E146" s="6"/>
      <c r="F146" s="11"/>
      <c r="G146" s="11"/>
      <c r="H146" s="11"/>
      <c r="I146" s="11"/>
      <c r="J146" s="6"/>
      <c r="K146" s="11"/>
      <c r="L146" s="11"/>
      <c r="N146" s="4" t="str">
        <f t="array" ref="N146">iferror(transpose(INDIRECT(SUBSTITUTE($C146," ","_"))),"")</f>
        <v/>
      </c>
      <c r="Z146" s="4" t="str">
        <f t="array" ref="Z146">iferror(transpose(INDIRECT(SUBSTITUTE($D146," ","_"))),"")</f>
        <v/>
      </c>
    </row>
    <row r="147" ht="15.75" customHeight="1">
      <c r="A147" s="11"/>
      <c r="B147" s="11"/>
      <c r="C147" s="4" t="str">
        <f t="array" ref="C147">iferror(INDEX(Fixtures_Results!$E$2:$F$12,MATCH($A147,Fixtures_Results!$A$2:$A$12,0),MATCH("BatTeam"&amp;$B147,Fixtures_Results!$E$1:$F$1,0)),"")</f>
        <v/>
      </c>
      <c r="D147" s="4" t="str">
        <f t="array" ref="D147">iferror(INDEX(Fixtures_Results!$E$2:$F$12,MATCH($A147,Fixtures_Results!$A$2:$A$12,0),MATCH("BatTeam"&amp;2*1/$B147,Fixtures_Results!$E$1:$F$1,0)),"")</f>
        <v/>
      </c>
      <c r="E147" s="6"/>
      <c r="F147" s="11"/>
      <c r="G147" s="11"/>
      <c r="H147" s="11"/>
      <c r="I147" s="11"/>
      <c r="J147" s="6"/>
      <c r="K147" s="11"/>
      <c r="L147" s="11"/>
      <c r="N147" s="4" t="str">
        <f t="array" ref="N147">iferror(transpose(INDIRECT(SUBSTITUTE($C147," ","_"))),"")</f>
        <v/>
      </c>
      <c r="Z147" s="4" t="str">
        <f t="array" ref="Z147">iferror(transpose(INDIRECT(SUBSTITUTE($D147," ","_"))),"")</f>
        <v/>
      </c>
    </row>
    <row r="148" ht="15.75" customHeight="1">
      <c r="A148" s="11"/>
      <c r="B148" s="11"/>
      <c r="C148" s="4" t="str">
        <f t="array" ref="C148">iferror(INDEX(Fixtures_Results!$E$2:$F$12,MATCH($A148,Fixtures_Results!$A$2:$A$12,0),MATCH("BatTeam"&amp;$B148,Fixtures_Results!$E$1:$F$1,0)),"")</f>
        <v/>
      </c>
      <c r="D148" s="4" t="str">
        <f t="array" ref="D148">iferror(INDEX(Fixtures_Results!$E$2:$F$12,MATCH($A148,Fixtures_Results!$A$2:$A$12,0),MATCH("BatTeam"&amp;2*1/$B148,Fixtures_Results!$E$1:$F$1,0)),"")</f>
        <v/>
      </c>
      <c r="E148" s="6"/>
      <c r="F148" s="11"/>
      <c r="G148" s="11"/>
      <c r="H148" s="11"/>
      <c r="I148" s="11"/>
      <c r="J148" s="6"/>
      <c r="K148" s="11"/>
      <c r="L148" s="11"/>
      <c r="N148" s="4" t="str">
        <f t="array" ref="N148">iferror(transpose(INDIRECT(SUBSTITUTE($C148," ","_"))),"")</f>
        <v/>
      </c>
      <c r="Z148" s="4" t="str">
        <f t="array" ref="Z148">iferror(transpose(INDIRECT(SUBSTITUTE($D148," ","_"))),"")</f>
        <v/>
      </c>
    </row>
    <row r="149" ht="15.75" customHeight="1">
      <c r="A149" s="11"/>
      <c r="B149" s="11"/>
      <c r="C149" s="4" t="str">
        <f t="array" ref="C149">iferror(INDEX(Fixtures_Results!$E$2:$F$12,MATCH($A149,Fixtures_Results!$A$2:$A$12,0),MATCH("BatTeam"&amp;$B149,Fixtures_Results!$E$1:$F$1,0)),"")</f>
        <v/>
      </c>
      <c r="D149" s="4" t="str">
        <f t="array" ref="D149">iferror(INDEX(Fixtures_Results!$E$2:$F$12,MATCH($A149,Fixtures_Results!$A$2:$A$12,0),MATCH("BatTeam"&amp;2*1/$B149,Fixtures_Results!$E$1:$F$1,0)),"")</f>
        <v/>
      </c>
      <c r="E149" s="6"/>
      <c r="F149" s="11"/>
      <c r="G149" s="11"/>
      <c r="H149" s="11"/>
      <c r="I149" s="11"/>
      <c r="J149" s="6"/>
      <c r="K149" s="11"/>
      <c r="L149" s="11"/>
      <c r="N149" s="4" t="str">
        <f t="array" ref="N149">iferror(transpose(INDIRECT(SUBSTITUTE($C149," ","_"))),"")</f>
        <v/>
      </c>
      <c r="Z149" s="4" t="str">
        <f t="array" ref="Z149">iferror(transpose(INDIRECT(SUBSTITUTE($D149," ","_"))),"")</f>
        <v/>
      </c>
    </row>
    <row r="150" ht="15.75" customHeight="1">
      <c r="A150" s="11"/>
      <c r="B150" s="11"/>
      <c r="C150" s="4" t="str">
        <f t="array" ref="C150">iferror(INDEX(Fixtures_Results!$E$2:$F$12,MATCH($A150,Fixtures_Results!$A$2:$A$12,0),MATCH("BatTeam"&amp;$B150,Fixtures_Results!$E$1:$F$1,0)),"")</f>
        <v/>
      </c>
      <c r="D150" s="4" t="str">
        <f t="array" ref="D150">iferror(INDEX(Fixtures_Results!$E$2:$F$12,MATCH($A150,Fixtures_Results!$A$2:$A$12,0),MATCH("BatTeam"&amp;2*1/$B150,Fixtures_Results!$E$1:$F$1,0)),"")</f>
        <v/>
      </c>
      <c r="E150" s="6"/>
      <c r="F150" s="11"/>
      <c r="G150" s="11"/>
      <c r="H150" s="11"/>
      <c r="I150" s="11"/>
      <c r="J150" s="6"/>
      <c r="K150" s="11"/>
      <c r="L150" s="11"/>
      <c r="N150" s="4" t="str">
        <f t="array" ref="N150">iferror(transpose(INDIRECT(SUBSTITUTE($C150," ","_"))),"")</f>
        <v/>
      </c>
      <c r="Z150" s="4" t="str">
        <f t="array" ref="Z150">iferror(transpose(INDIRECT(SUBSTITUTE($D150," ","_"))),"")</f>
        <v/>
      </c>
    </row>
    <row r="151" ht="15.75" customHeight="1">
      <c r="A151" s="11"/>
      <c r="B151" s="11"/>
      <c r="C151" s="4" t="str">
        <f t="array" ref="C151">iferror(INDEX(Fixtures_Results!$E$2:$F$12,MATCH($A151,Fixtures_Results!$A$2:$A$12,0),MATCH("BatTeam"&amp;$B151,Fixtures_Results!$E$1:$F$1,0)),"")</f>
        <v/>
      </c>
      <c r="D151" s="4" t="str">
        <f t="array" ref="D151">iferror(INDEX(Fixtures_Results!$E$2:$F$12,MATCH($A151,Fixtures_Results!$A$2:$A$12,0),MATCH("BatTeam"&amp;2*1/$B151,Fixtures_Results!$E$1:$F$1,0)),"")</f>
        <v/>
      </c>
      <c r="E151" s="6"/>
      <c r="F151" s="11"/>
      <c r="G151" s="11"/>
      <c r="H151" s="11"/>
      <c r="I151" s="11"/>
      <c r="J151" s="6"/>
      <c r="K151" s="11"/>
      <c r="L151" s="11"/>
      <c r="N151" s="4" t="str">
        <f t="array" ref="N151">iferror(transpose(INDIRECT(SUBSTITUTE($C151," ","_"))),"")</f>
        <v/>
      </c>
      <c r="Z151" s="4" t="str">
        <f t="array" ref="Z151">iferror(transpose(INDIRECT(SUBSTITUTE($D151," ","_"))),"")</f>
        <v/>
      </c>
    </row>
    <row r="152" ht="15.75" customHeight="1">
      <c r="A152" s="11"/>
      <c r="B152" s="11"/>
      <c r="C152" s="4" t="str">
        <f t="array" ref="C152">iferror(INDEX(Fixtures_Results!$E$2:$F$12,MATCH($A152,Fixtures_Results!$A$2:$A$12,0),MATCH("BatTeam"&amp;$B152,Fixtures_Results!$E$1:$F$1,0)),"")</f>
        <v/>
      </c>
      <c r="D152" s="4" t="str">
        <f t="array" ref="D152">iferror(INDEX(Fixtures_Results!$E$2:$F$12,MATCH($A152,Fixtures_Results!$A$2:$A$12,0),MATCH("BatTeam"&amp;2*1/$B152,Fixtures_Results!$E$1:$F$1,0)),"")</f>
        <v/>
      </c>
      <c r="E152" s="6"/>
      <c r="F152" s="11"/>
      <c r="G152" s="11"/>
      <c r="H152" s="11"/>
      <c r="I152" s="11"/>
      <c r="J152" s="6"/>
      <c r="K152" s="11"/>
      <c r="L152" s="11"/>
      <c r="N152" s="4" t="str">
        <f t="array" ref="N152">iferror(transpose(INDIRECT(SUBSTITUTE($C152," ","_"))),"")</f>
        <v/>
      </c>
      <c r="Z152" s="4" t="str">
        <f t="array" ref="Z152">iferror(transpose(INDIRECT(SUBSTITUTE($D152," ","_"))),"")</f>
        <v/>
      </c>
    </row>
    <row r="153" ht="15.75" customHeight="1">
      <c r="A153" s="11"/>
      <c r="B153" s="11"/>
      <c r="C153" s="4" t="str">
        <f t="array" ref="C153">iferror(INDEX(Fixtures_Results!$E$2:$F$12,MATCH($A153,Fixtures_Results!$A$2:$A$12,0),MATCH("BatTeam"&amp;$B153,Fixtures_Results!$E$1:$F$1,0)),"")</f>
        <v/>
      </c>
      <c r="D153" s="4" t="str">
        <f t="array" ref="D153">iferror(INDEX(Fixtures_Results!$E$2:$F$12,MATCH($A153,Fixtures_Results!$A$2:$A$12,0),MATCH("BatTeam"&amp;2*1/$B153,Fixtures_Results!$E$1:$F$1,0)),"")</f>
        <v/>
      </c>
      <c r="E153" s="6"/>
      <c r="F153" s="11"/>
      <c r="G153" s="11"/>
      <c r="H153" s="11"/>
      <c r="I153" s="11"/>
      <c r="J153" s="6"/>
      <c r="K153" s="11"/>
      <c r="L153" s="11"/>
      <c r="N153" s="4" t="str">
        <f t="array" ref="N153">iferror(transpose(INDIRECT(SUBSTITUTE($C153," ","_"))),"")</f>
        <v/>
      </c>
      <c r="Z153" s="4" t="str">
        <f t="array" ref="Z153">iferror(transpose(INDIRECT(SUBSTITUTE($D153," ","_"))),"")</f>
        <v/>
      </c>
    </row>
    <row r="154" ht="15.75" customHeight="1">
      <c r="A154" s="11"/>
      <c r="B154" s="11"/>
      <c r="C154" s="4" t="str">
        <f t="array" ref="C154">iferror(INDEX(Fixtures_Results!$E$2:$F$12,MATCH($A154,Fixtures_Results!$A$2:$A$12,0),MATCH("BatTeam"&amp;$B154,Fixtures_Results!$E$1:$F$1,0)),"")</f>
        <v/>
      </c>
      <c r="D154" s="4" t="str">
        <f t="array" ref="D154">iferror(INDEX(Fixtures_Results!$E$2:$F$12,MATCH($A154,Fixtures_Results!$A$2:$A$12,0),MATCH("BatTeam"&amp;2*1/$B154,Fixtures_Results!$E$1:$F$1,0)),"")</f>
        <v/>
      </c>
      <c r="E154" s="6"/>
      <c r="F154" s="11"/>
      <c r="G154" s="11"/>
      <c r="H154" s="11"/>
      <c r="I154" s="11"/>
      <c r="J154" s="6"/>
      <c r="K154" s="11"/>
      <c r="L154" s="11"/>
      <c r="N154" s="4" t="str">
        <f t="array" ref="N154">iferror(transpose(INDIRECT(SUBSTITUTE($C154," ","_"))),"")</f>
        <v/>
      </c>
      <c r="Z154" s="4" t="str">
        <f t="array" ref="Z154">iferror(transpose(INDIRECT(SUBSTITUTE($D154," ","_"))),"")</f>
        <v/>
      </c>
    </row>
    <row r="155" ht="15.75" customHeight="1">
      <c r="A155" s="11"/>
      <c r="B155" s="11"/>
      <c r="C155" s="4" t="str">
        <f t="array" ref="C155">iferror(INDEX(Fixtures_Results!$E$2:$F$12,MATCH($A155,Fixtures_Results!$A$2:$A$12,0),MATCH("BatTeam"&amp;$B155,Fixtures_Results!$E$1:$F$1,0)),"")</f>
        <v/>
      </c>
      <c r="D155" s="4" t="str">
        <f t="array" ref="D155">iferror(INDEX(Fixtures_Results!$E$2:$F$12,MATCH($A155,Fixtures_Results!$A$2:$A$12,0),MATCH("BatTeam"&amp;2*1/$B155,Fixtures_Results!$E$1:$F$1,0)),"")</f>
        <v/>
      </c>
      <c r="E155" s="6"/>
      <c r="F155" s="11"/>
      <c r="G155" s="11"/>
      <c r="H155" s="11"/>
      <c r="I155" s="11"/>
      <c r="J155" s="6"/>
      <c r="K155" s="11"/>
      <c r="L155" s="11"/>
      <c r="N155" s="4" t="str">
        <f t="array" ref="N155">iferror(transpose(INDIRECT(SUBSTITUTE($C155," ","_"))),"")</f>
        <v/>
      </c>
      <c r="Z155" s="4" t="str">
        <f t="array" ref="Z155">iferror(transpose(INDIRECT(SUBSTITUTE($D155," ","_"))),"")</f>
        <v/>
      </c>
    </row>
    <row r="156" ht="15.75" customHeight="1">
      <c r="A156" s="11"/>
      <c r="B156" s="11"/>
      <c r="C156" s="4" t="str">
        <f t="array" ref="C156">iferror(INDEX(Fixtures_Results!$E$2:$F$12,MATCH($A156,Fixtures_Results!$A$2:$A$12,0),MATCH("BatTeam"&amp;$B156,Fixtures_Results!$E$1:$F$1,0)),"")</f>
        <v/>
      </c>
      <c r="D156" s="4" t="str">
        <f t="array" ref="D156">iferror(INDEX(Fixtures_Results!$E$2:$F$12,MATCH($A156,Fixtures_Results!$A$2:$A$12,0),MATCH("BatTeam"&amp;2*1/$B156,Fixtures_Results!$E$1:$F$1,0)),"")</f>
        <v/>
      </c>
      <c r="E156" s="6"/>
      <c r="F156" s="11"/>
      <c r="G156" s="11"/>
      <c r="H156" s="11"/>
      <c r="I156" s="11"/>
      <c r="J156" s="6"/>
      <c r="K156" s="11"/>
      <c r="L156" s="11"/>
      <c r="N156" s="4" t="str">
        <f t="array" ref="N156">iferror(transpose(INDIRECT(SUBSTITUTE($C156," ","_"))),"")</f>
        <v/>
      </c>
      <c r="Z156" s="4" t="str">
        <f t="array" ref="Z156">iferror(transpose(INDIRECT(SUBSTITUTE($D156," ","_"))),"")</f>
        <v/>
      </c>
    </row>
    <row r="157" ht="15.75" customHeight="1">
      <c r="A157" s="11"/>
      <c r="B157" s="11"/>
      <c r="C157" s="4" t="str">
        <f t="array" ref="C157">iferror(INDEX(Fixtures_Results!$E$2:$F$12,MATCH($A157,Fixtures_Results!$A$2:$A$12,0),MATCH("BatTeam"&amp;$B157,Fixtures_Results!$E$1:$F$1,0)),"")</f>
        <v/>
      </c>
      <c r="D157" s="4" t="str">
        <f t="array" ref="D157">iferror(INDEX(Fixtures_Results!$E$2:$F$12,MATCH($A157,Fixtures_Results!$A$2:$A$12,0),MATCH("BatTeam"&amp;2*1/$B157,Fixtures_Results!$E$1:$F$1,0)),"")</f>
        <v/>
      </c>
      <c r="E157" s="6"/>
      <c r="F157" s="11"/>
      <c r="G157" s="11"/>
      <c r="H157" s="11"/>
      <c r="I157" s="11"/>
      <c r="J157" s="6"/>
      <c r="K157" s="11"/>
      <c r="L157" s="11"/>
      <c r="N157" s="4" t="str">
        <f t="array" ref="N157">iferror(transpose(INDIRECT(SUBSTITUTE($C157," ","_"))),"")</f>
        <v/>
      </c>
      <c r="Z157" s="4" t="str">
        <f t="array" ref="Z157">iferror(transpose(INDIRECT(SUBSTITUTE($D157," ","_"))),"")</f>
        <v/>
      </c>
    </row>
    <row r="158" ht="15.75" customHeight="1">
      <c r="A158" s="11"/>
      <c r="B158" s="11"/>
      <c r="C158" s="4" t="str">
        <f t="array" ref="C158">iferror(INDEX(Fixtures_Results!$E$2:$F$12,MATCH($A158,Fixtures_Results!$A$2:$A$12,0),MATCH("BatTeam"&amp;$B158,Fixtures_Results!$E$1:$F$1,0)),"")</f>
        <v/>
      </c>
      <c r="D158" s="4" t="str">
        <f t="array" ref="D158">iferror(INDEX(Fixtures_Results!$E$2:$F$12,MATCH($A158,Fixtures_Results!$A$2:$A$12,0),MATCH("BatTeam"&amp;2*1/$B158,Fixtures_Results!$E$1:$F$1,0)),"")</f>
        <v/>
      </c>
      <c r="E158" s="6"/>
      <c r="F158" s="11"/>
      <c r="G158" s="11"/>
      <c r="H158" s="11"/>
      <c r="I158" s="11"/>
      <c r="J158" s="6"/>
      <c r="K158" s="11"/>
      <c r="L158" s="11"/>
      <c r="N158" s="4" t="str">
        <f t="array" ref="N158">iferror(transpose(INDIRECT(SUBSTITUTE($C158," ","_"))),"")</f>
        <v/>
      </c>
      <c r="Z158" s="4" t="str">
        <f t="array" ref="Z158">iferror(transpose(INDIRECT(SUBSTITUTE($D158," ","_"))),"")</f>
        <v/>
      </c>
    </row>
    <row r="159" ht="15.75" customHeight="1">
      <c r="A159" s="11"/>
      <c r="B159" s="11"/>
      <c r="C159" s="4" t="str">
        <f t="array" ref="C159">iferror(INDEX(Fixtures_Results!$E$2:$F$12,MATCH($A159,Fixtures_Results!$A$2:$A$12,0),MATCH("BatTeam"&amp;$B159,Fixtures_Results!$E$1:$F$1,0)),"")</f>
        <v/>
      </c>
      <c r="D159" s="4" t="str">
        <f t="array" ref="D159">iferror(INDEX(Fixtures_Results!$E$2:$F$12,MATCH($A159,Fixtures_Results!$A$2:$A$12,0),MATCH("BatTeam"&amp;2*1/$B159,Fixtures_Results!$E$1:$F$1,0)),"")</f>
        <v/>
      </c>
      <c r="E159" s="6"/>
      <c r="F159" s="11"/>
      <c r="G159" s="11"/>
      <c r="H159" s="11"/>
      <c r="I159" s="11"/>
      <c r="J159" s="6"/>
      <c r="K159" s="11"/>
      <c r="L159" s="11"/>
      <c r="N159" s="4" t="str">
        <f t="array" ref="N159">iferror(transpose(INDIRECT(SUBSTITUTE($C159," ","_"))),"")</f>
        <v/>
      </c>
      <c r="Z159" s="4" t="str">
        <f t="array" ref="Z159">iferror(transpose(INDIRECT(SUBSTITUTE($D159," ","_"))),"")</f>
        <v/>
      </c>
    </row>
    <row r="160" ht="15.75" customHeight="1">
      <c r="A160" s="11"/>
      <c r="B160" s="11"/>
      <c r="C160" s="4" t="str">
        <f t="array" ref="C160">iferror(INDEX(Fixtures_Results!$E$2:$F$12,MATCH($A160,Fixtures_Results!$A$2:$A$12,0),MATCH("BatTeam"&amp;$B160,Fixtures_Results!$E$1:$F$1,0)),"")</f>
        <v/>
      </c>
      <c r="D160" s="4" t="str">
        <f t="array" ref="D160">iferror(INDEX(Fixtures_Results!$E$2:$F$12,MATCH($A160,Fixtures_Results!$A$2:$A$12,0),MATCH("BatTeam"&amp;2*1/$B160,Fixtures_Results!$E$1:$F$1,0)),"")</f>
        <v/>
      </c>
      <c r="E160" s="6"/>
      <c r="F160" s="11"/>
      <c r="G160" s="11"/>
      <c r="H160" s="11"/>
      <c r="I160" s="11"/>
      <c r="J160" s="6"/>
      <c r="K160" s="11"/>
      <c r="L160" s="11"/>
      <c r="N160" s="4" t="str">
        <f t="array" ref="N160">iferror(transpose(INDIRECT(SUBSTITUTE($C160," ","_"))),"")</f>
        <v/>
      </c>
      <c r="Z160" s="4" t="str">
        <f t="array" ref="Z160">iferror(transpose(INDIRECT(SUBSTITUTE($D160," ","_"))),"")</f>
        <v/>
      </c>
    </row>
    <row r="161" ht="15.75" customHeight="1">
      <c r="A161" s="11"/>
      <c r="B161" s="11"/>
      <c r="C161" s="4" t="str">
        <f t="array" ref="C161">iferror(INDEX(Fixtures_Results!$E$2:$F$12,MATCH($A161,Fixtures_Results!$A$2:$A$12,0),MATCH("BatTeam"&amp;$B161,Fixtures_Results!$E$1:$F$1,0)),"")</f>
        <v/>
      </c>
      <c r="D161" s="4" t="str">
        <f t="array" ref="D161">iferror(INDEX(Fixtures_Results!$E$2:$F$12,MATCH($A161,Fixtures_Results!$A$2:$A$12,0),MATCH("BatTeam"&amp;2*1/$B161,Fixtures_Results!$E$1:$F$1,0)),"")</f>
        <v/>
      </c>
      <c r="E161" s="6"/>
      <c r="F161" s="11"/>
      <c r="G161" s="11"/>
      <c r="H161" s="11"/>
      <c r="I161" s="11"/>
      <c r="J161" s="6"/>
      <c r="K161" s="11"/>
      <c r="L161" s="11"/>
      <c r="N161" s="4" t="str">
        <f t="array" ref="N161">iferror(transpose(INDIRECT(SUBSTITUTE($C161," ","_"))),"")</f>
        <v/>
      </c>
      <c r="Z161" s="4" t="str">
        <f t="array" ref="Z161">iferror(transpose(INDIRECT(SUBSTITUTE($D161," ","_"))),"")</f>
        <v/>
      </c>
    </row>
    <row r="162" ht="15.75" customHeight="1">
      <c r="A162" s="11"/>
      <c r="B162" s="11"/>
      <c r="C162" s="4" t="str">
        <f t="array" ref="C162">iferror(INDEX(Fixtures_Results!$E$2:$F$12,MATCH($A162,Fixtures_Results!$A$2:$A$12,0),MATCH("BatTeam"&amp;$B162,Fixtures_Results!$E$1:$F$1,0)),"")</f>
        <v/>
      </c>
      <c r="D162" s="4" t="str">
        <f t="array" ref="D162">iferror(INDEX(Fixtures_Results!$E$2:$F$12,MATCH($A162,Fixtures_Results!$A$2:$A$12,0),MATCH("BatTeam"&amp;2*1/$B162,Fixtures_Results!$E$1:$F$1,0)),"")</f>
        <v/>
      </c>
      <c r="E162" s="6"/>
      <c r="F162" s="11"/>
      <c r="G162" s="11"/>
      <c r="H162" s="11"/>
      <c r="I162" s="11"/>
      <c r="J162" s="6"/>
      <c r="K162" s="11"/>
      <c r="L162" s="11"/>
      <c r="N162" s="4" t="str">
        <f t="array" ref="N162">iferror(transpose(INDIRECT(SUBSTITUTE($C162," ","_"))),"")</f>
        <v/>
      </c>
      <c r="Z162" s="4" t="str">
        <f t="array" ref="Z162">iferror(transpose(INDIRECT(SUBSTITUTE($D162," ","_"))),"")</f>
        <v/>
      </c>
    </row>
    <row r="163" ht="15.75" customHeight="1">
      <c r="A163" s="11"/>
      <c r="B163" s="11"/>
      <c r="C163" s="4" t="str">
        <f t="array" ref="C163">iferror(INDEX(Fixtures_Results!$E$2:$F$12,MATCH($A163,Fixtures_Results!$A$2:$A$12,0),MATCH("BatTeam"&amp;$B163,Fixtures_Results!$E$1:$F$1,0)),"")</f>
        <v/>
      </c>
      <c r="D163" s="4" t="str">
        <f t="array" ref="D163">iferror(INDEX(Fixtures_Results!$E$2:$F$12,MATCH($A163,Fixtures_Results!$A$2:$A$12,0),MATCH("BatTeam"&amp;2*1/$B163,Fixtures_Results!$E$1:$F$1,0)),"")</f>
        <v/>
      </c>
      <c r="E163" s="6"/>
      <c r="F163" s="11"/>
      <c r="G163" s="11"/>
      <c r="H163" s="11"/>
      <c r="I163" s="11"/>
      <c r="J163" s="6"/>
      <c r="K163" s="11"/>
      <c r="L163" s="11"/>
      <c r="N163" s="4" t="str">
        <f t="array" ref="N163">iferror(transpose(INDIRECT(SUBSTITUTE($C163," ","_"))),"")</f>
        <v/>
      </c>
      <c r="Z163" s="4" t="str">
        <f t="array" ref="Z163">iferror(transpose(INDIRECT(SUBSTITUTE($D163," ","_"))),"")</f>
        <v/>
      </c>
    </row>
    <row r="164" ht="15.75" customHeight="1">
      <c r="A164" s="11"/>
      <c r="B164" s="11"/>
      <c r="C164" s="4" t="str">
        <f t="array" ref="C164">iferror(INDEX(Fixtures_Results!$E$2:$F$12,MATCH($A164,Fixtures_Results!$A$2:$A$12,0),MATCH("BatTeam"&amp;$B164,Fixtures_Results!$E$1:$F$1,0)),"")</f>
        <v/>
      </c>
      <c r="D164" s="4" t="str">
        <f t="array" ref="D164">iferror(INDEX(Fixtures_Results!$E$2:$F$12,MATCH($A164,Fixtures_Results!$A$2:$A$12,0),MATCH("BatTeam"&amp;2*1/$B164,Fixtures_Results!$E$1:$F$1,0)),"")</f>
        <v/>
      </c>
      <c r="E164" s="6"/>
      <c r="F164" s="11"/>
      <c r="G164" s="11"/>
      <c r="H164" s="11"/>
      <c r="I164" s="11"/>
      <c r="J164" s="6"/>
      <c r="K164" s="11"/>
      <c r="L164" s="11"/>
      <c r="N164" s="4" t="str">
        <f t="array" ref="N164">iferror(transpose(INDIRECT(SUBSTITUTE($C164," ","_"))),"")</f>
        <v/>
      </c>
      <c r="Z164" s="4" t="str">
        <f t="array" ref="Z164">iferror(transpose(INDIRECT(SUBSTITUTE($D164," ","_"))),"")</f>
        <v/>
      </c>
    </row>
    <row r="165" ht="15.75" customHeight="1">
      <c r="A165" s="11"/>
      <c r="B165" s="11"/>
      <c r="C165" s="4" t="str">
        <f t="array" ref="C165">iferror(INDEX(Fixtures_Results!$E$2:$F$12,MATCH($A165,Fixtures_Results!$A$2:$A$12,0),MATCH("BatTeam"&amp;$B165,Fixtures_Results!$E$1:$F$1,0)),"")</f>
        <v/>
      </c>
      <c r="D165" s="4" t="str">
        <f t="array" ref="D165">iferror(INDEX(Fixtures_Results!$E$2:$F$12,MATCH($A165,Fixtures_Results!$A$2:$A$12,0),MATCH("BatTeam"&amp;2*1/$B165,Fixtures_Results!$E$1:$F$1,0)),"")</f>
        <v/>
      </c>
      <c r="E165" s="6"/>
      <c r="F165" s="11"/>
      <c r="G165" s="11"/>
      <c r="H165" s="11"/>
      <c r="I165" s="11"/>
      <c r="J165" s="6"/>
      <c r="K165" s="11"/>
      <c r="L165" s="11"/>
      <c r="N165" s="4" t="str">
        <f t="array" ref="N165">iferror(transpose(INDIRECT(SUBSTITUTE($C165," ","_"))),"")</f>
        <v/>
      </c>
      <c r="Z165" s="4" t="str">
        <f t="array" ref="Z165">iferror(transpose(INDIRECT(SUBSTITUTE($D165," ","_"))),"")</f>
        <v/>
      </c>
    </row>
    <row r="166" ht="15.75" customHeight="1">
      <c r="A166" s="11"/>
      <c r="B166" s="11"/>
      <c r="C166" s="4" t="str">
        <f t="array" ref="C166">iferror(INDEX(Fixtures_Results!$E$2:$F$12,MATCH($A166,Fixtures_Results!$A$2:$A$12,0),MATCH("BatTeam"&amp;$B166,Fixtures_Results!$E$1:$F$1,0)),"")</f>
        <v/>
      </c>
      <c r="D166" s="4" t="str">
        <f t="array" ref="D166">iferror(INDEX(Fixtures_Results!$E$2:$F$12,MATCH($A166,Fixtures_Results!$A$2:$A$12,0),MATCH("BatTeam"&amp;2*1/$B166,Fixtures_Results!$E$1:$F$1,0)),"")</f>
        <v/>
      </c>
      <c r="E166" s="6"/>
      <c r="F166" s="11"/>
      <c r="G166" s="11"/>
      <c r="H166" s="11"/>
      <c r="I166" s="11"/>
      <c r="J166" s="6"/>
      <c r="K166" s="11"/>
      <c r="L166" s="11"/>
      <c r="N166" s="4" t="str">
        <f t="array" ref="N166">iferror(transpose(INDIRECT(SUBSTITUTE($C166," ","_"))),"")</f>
        <v/>
      </c>
      <c r="Z166" s="4" t="str">
        <f t="array" ref="Z166">iferror(transpose(INDIRECT(SUBSTITUTE($D166," ","_"))),"")</f>
        <v/>
      </c>
    </row>
    <row r="167" ht="15.75" customHeight="1">
      <c r="A167" s="11"/>
      <c r="B167" s="11"/>
      <c r="C167" s="4" t="str">
        <f t="array" ref="C167">iferror(INDEX(Fixtures_Results!$E$2:$F$12,MATCH($A167,Fixtures_Results!$A$2:$A$12,0),MATCH("BatTeam"&amp;$B167,Fixtures_Results!$E$1:$F$1,0)),"")</f>
        <v/>
      </c>
      <c r="D167" s="4" t="str">
        <f t="array" ref="D167">iferror(INDEX(Fixtures_Results!$E$2:$F$12,MATCH($A167,Fixtures_Results!$A$2:$A$12,0),MATCH("BatTeam"&amp;2*1/$B167,Fixtures_Results!$E$1:$F$1,0)),"")</f>
        <v/>
      </c>
      <c r="E167" s="6"/>
      <c r="F167" s="11"/>
      <c r="G167" s="11"/>
      <c r="H167" s="11"/>
      <c r="I167" s="11"/>
      <c r="J167" s="6"/>
      <c r="K167" s="11"/>
      <c r="L167" s="11"/>
      <c r="N167" s="4" t="str">
        <f t="array" ref="N167">iferror(transpose(INDIRECT(SUBSTITUTE($C167," ","_"))),"")</f>
        <v/>
      </c>
      <c r="Z167" s="4" t="str">
        <f t="array" ref="Z167">iferror(transpose(INDIRECT(SUBSTITUTE($D167," ","_"))),"")</f>
        <v/>
      </c>
    </row>
    <row r="168" ht="15.75" customHeight="1">
      <c r="A168" s="11"/>
      <c r="B168" s="11"/>
      <c r="C168" s="4" t="str">
        <f t="array" ref="C168">iferror(INDEX(Fixtures_Results!$E$2:$F$12,MATCH($A168,Fixtures_Results!$A$2:$A$12,0),MATCH("BatTeam"&amp;$B168,Fixtures_Results!$E$1:$F$1,0)),"")</f>
        <v/>
      </c>
      <c r="D168" s="4" t="str">
        <f t="array" ref="D168">iferror(INDEX(Fixtures_Results!$E$2:$F$12,MATCH($A168,Fixtures_Results!$A$2:$A$12,0),MATCH("BatTeam"&amp;2*1/$B168,Fixtures_Results!$E$1:$F$1,0)),"")</f>
        <v/>
      </c>
      <c r="E168" s="6"/>
      <c r="F168" s="11"/>
      <c r="G168" s="11"/>
      <c r="H168" s="11"/>
      <c r="I168" s="11"/>
      <c r="J168" s="6"/>
      <c r="K168" s="11"/>
      <c r="L168" s="11"/>
      <c r="N168" s="4" t="str">
        <f t="array" ref="N168">iferror(transpose(INDIRECT(SUBSTITUTE($C168," ","_"))),"")</f>
        <v/>
      </c>
      <c r="Z168" s="4" t="str">
        <f t="array" ref="Z168">iferror(transpose(INDIRECT(SUBSTITUTE($D168," ","_"))),"")</f>
        <v/>
      </c>
    </row>
    <row r="169" ht="15.75" customHeight="1">
      <c r="A169" s="11"/>
      <c r="B169" s="11"/>
      <c r="C169" s="4" t="str">
        <f t="array" ref="C169">iferror(INDEX(Fixtures_Results!$E$2:$F$12,MATCH($A169,Fixtures_Results!$A$2:$A$12,0),MATCH("BatTeam"&amp;$B169,Fixtures_Results!$E$1:$F$1,0)),"")</f>
        <v/>
      </c>
      <c r="D169" s="4" t="str">
        <f t="array" ref="D169">iferror(INDEX(Fixtures_Results!$E$2:$F$12,MATCH($A169,Fixtures_Results!$A$2:$A$12,0),MATCH("BatTeam"&amp;2*1/$B169,Fixtures_Results!$E$1:$F$1,0)),"")</f>
        <v/>
      </c>
      <c r="E169" s="6"/>
      <c r="F169" s="11"/>
      <c r="G169" s="11"/>
      <c r="H169" s="11"/>
      <c r="I169" s="11"/>
      <c r="J169" s="6"/>
      <c r="K169" s="11"/>
      <c r="L169" s="11"/>
      <c r="N169" s="4" t="str">
        <f t="array" ref="N169">iferror(transpose(INDIRECT(SUBSTITUTE($C169," ","_"))),"")</f>
        <v/>
      </c>
      <c r="Z169" s="4" t="str">
        <f t="array" ref="Z169">iferror(transpose(INDIRECT(SUBSTITUTE($D169," ","_"))),"")</f>
        <v/>
      </c>
    </row>
    <row r="170" ht="15.75" customHeight="1">
      <c r="A170" s="11"/>
      <c r="B170" s="11"/>
      <c r="C170" s="4" t="str">
        <f t="array" ref="C170">iferror(INDEX(Fixtures_Results!$E$2:$F$12,MATCH($A170,Fixtures_Results!$A$2:$A$12,0),MATCH("BatTeam"&amp;$B170,Fixtures_Results!$E$1:$F$1,0)),"")</f>
        <v/>
      </c>
      <c r="D170" s="4" t="str">
        <f t="array" ref="D170">iferror(INDEX(Fixtures_Results!$E$2:$F$12,MATCH($A170,Fixtures_Results!$A$2:$A$12,0),MATCH("BatTeam"&amp;2*1/$B170,Fixtures_Results!$E$1:$F$1,0)),"")</f>
        <v/>
      </c>
      <c r="E170" s="6"/>
      <c r="F170" s="11"/>
      <c r="G170" s="11"/>
      <c r="H170" s="11"/>
      <c r="I170" s="11"/>
      <c r="J170" s="6"/>
      <c r="K170" s="11"/>
      <c r="L170" s="11"/>
      <c r="N170" s="4" t="str">
        <f t="array" ref="N170">iferror(transpose(INDIRECT(SUBSTITUTE($C170," ","_"))),"")</f>
        <v/>
      </c>
      <c r="Z170" s="4" t="str">
        <f t="array" ref="Z170">iferror(transpose(INDIRECT(SUBSTITUTE($D170," ","_"))),"")</f>
        <v/>
      </c>
    </row>
    <row r="171" ht="15.75" customHeight="1">
      <c r="A171" s="11"/>
      <c r="B171" s="11"/>
      <c r="C171" s="4" t="str">
        <f t="array" ref="C171">iferror(INDEX(Fixtures_Results!$E$2:$F$12,MATCH($A171,Fixtures_Results!$A$2:$A$12,0),MATCH("BatTeam"&amp;$B171,Fixtures_Results!$E$1:$F$1,0)),"")</f>
        <v/>
      </c>
      <c r="D171" s="4" t="str">
        <f t="array" ref="D171">iferror(INDEX(Fixtures_Results!$E$2:$F$12,MATCH($A171,Fixtures_Results!$A$2:$A$12,0),MATCH("BatTeam"&amp;2*1/$B171,Fixtures_Results!$E$1:$F$1,0)),"")</f>
        <v/>
      </c>
      <c r="E171" s="6"/>
      <c r="F171" s="11"/>
      <c r="G171" s="11"/>
      <c r="H171" s="11"/>
      <c r="I171" s="11"/>
      <c r="J171" s="6"/>
      <c r="K171" s="11"/>
      <c r="L171" s="11"/>
      <c r="N171" s="4" t="str">
        <f t="array" ref="N171">iferror(transpose(INDIRECT(SUBSTITUTE($C171," ","_"))),"")</f>
        <v/>
      </c>
      <c r="Z171" s="4" t="str">
        <f t="array" ref="Z171">iferror(transpose(INDIRECT(SUBSTITUTE($D171," ","_"))),"")</f>
        <v/>
      </c>
    </row>
    <row r="172" ht="15.75" customHeight="1">
      <c r="A172" s="11"/>
      <c r="B172" s="11"/>
      <c r="C172" s="4" t="str">
        <f t="array" ref="C172">iferror(INDEX(Fixtures_Results!$E$2:$F$12,MATCH($A172,Fixtures_Results!$A$2:$A$12,0),MATCH("BatTeam"&amp;$B172,Fixtures_Results!$E$1:$F$1,0)),"")</f>
        <v/>
      </c>
      <c r="D172" s="4" t="str">
        <f t="array" ref="D172">iferror(INDEX(Fixtures_Results!$E$2:$F$12,MATCH($A172,Fixtures_Results!$A$2:$A$12,0),MATCH("BatTeam"&amp;2*1/$B172,Fixtures_Results!$E$1:$F$1,0)),"")</f>
        <v/>
      </c>
      <c r="E172" s="6"/>
      <c r="F172" s="11"/>
      <c r="G172" s="11"/>
      <c r="H172" s="11"/>
      <c r="I172" s="11"/>
      <c r="J172" s="6"/>
      <c r="K172" s="11"/>
      <c r="L172" s="11"/>
      <c r="N172" s="4" t="str">
        <f t="array" ref="N172">iferror(transpose(INDIRECT(SUBSTITUTE($C172," ","_"))),"")</f>
        <v/>
      </c>
      <c r="Z172" s="4" t="str">
        <f t="array" ref="Z172">iferror(transpose(INDIRECT(SUBSTITUTE($D172," ","_"))),"")</f>
        <v/>
      </c>
    </row>
    <row r="173" ht="15.75" customHeight="1">
      <c r="A173" s="11"/>
      <c r="B173" s="11"/>
      <c r="C173" s="4" t="str">
        <f t="array" ref="C173">iferror(INDEX(Fixtures_Results!$E$2:$F$12,MATCH($A173,Fixtures_Results!$A$2:$A$12,0),MATCH("BatTeam"&amp;$B173,Fixtures_Results!$E$1:$F$1,0)),"")</f>
        <v/>
      </c>
      <c r="D173" s="4" t="str">
        <f t="array" ref="D173">iferror(INDEX(Fixtures_Results!$E$2:$F$12,MATCH($A173,Fixtures_Results!$A$2:$A$12,0),MATCH("BatTeam"&amp;2*1/$B173,Fixtures_Results!$E$1:$F$1,0)),"")</f>
        <v/>
      </c>
      <c r="E173" s="6"/>
      <c r="F173" s="11"/>
      <c r="G173" s="11"/>
      <c r="H173" s="11"/>
      <c r="I173" s="11"/>
      <c r="J173" s="6"/>
      <c r="K173" s="11"/>
      <c r="L173" s="11"/>
      <c r="N173" s="4" t="str">
        <f t="array" ref="N173">iferror(transpose(INDIRECT(SUBSTITUTE($C173," ","_"))),"")</f>
        <v/>
      </c>
      <c r="Z173" s="4" t="str">
        <f t="array" ref="Z173">iferror(transpose(INDIRECT(SUBSTITUTE($D173," ","_"))),"")</f>
        <v/>
      </c>
    </row>
    <row r="174" ht="15.75" customHeight="1">
      <c r="A174" s="11"/>
      <c r="B174" s="11"/>
      <c r="C174" s="4" t="str">
        <f t="array" ref="C174">iferror(INDEX(Fixtures_Results!$E$2:$F$12,MATCH($A174,Fixtures_Results!$A$2:$A$12,0),MATCH("BatTeam"&amp;$B174,Fixtures_Results!$E$1:$F$1,0)),"")</f>
        <v/>
      </c>
      <c r="D174" s="4" t="str">
        <f t="array" ref="D174">iferror(INDEX(Fixtures_Results!$E$2:$F$12,MATCH($A174,Fixtures_Results!$A$2:$A$12,0),MATCH("BatTeam"&amp;2*1/$B174,Fixtures_Results!$E$1:$F$1,0)),"")</f>
        <v/>
      </c>
      <c r="E174" s="6"/>
      <c r="F174" s="11"/>
      <c r="G174" s="11"/>
      <c r="H174" s="11"/>
      <c r="I174" s="11"/>
      <c r="J174" s="6"/>
      <c r="K174" s="11"/>
      <c r="L174" s="11"/>
      <c r="N174" s="4" t="str">
        <f t="array" ref="N174">iferror(transpose(INDIRECT(SUBSTITUTE($C174," ","_"))),"")</f>
        <v/>
      </c>
      <c r="Z174" s="4" t="str">
        <f t="array" ref="Z174">iferror(transpose(INDIRECT(SUBSTITUTE($D174," ","_"))),"")</f>
        <v/>
      </c>
    </row>
    <row r="175" ht="15.75" customHeight="1">
      <c r="A175" s="11"/>
      <c r="B175" s="11"/>
      <c r="C175" s="4" t="str">
        <f t="array" ref="C175">iferror(INDEX(Fixtures_Results!$E$2:$F$12,MATCH($A175,Fixtures_Results!$A$2:$A$12,0),MATCH("BatTeam"&amp;$B175,Fixtures_Results!$E$1:$F$1,0)),"")</f>
        <v/>
      </c>
      <c r="D175" s="4" t="str">
        <f t="array" ref="D175">iferror(INDEX(Fixtures_Results!$E$2:$F$12,MATCH($A175,Fixtures_Results!$A$2:$A$12,0),MATCH("BatTeam"&amp;2*1/$B175,Fixtures_Results!$E$1:$F$1,0)),"")</f>
        <v/>
      </c>
      <c r="E175" s="6"/>
      <c r="F175" s="11"/>
      <c r="G175" s="11"/>
      <c r="H175" s="11"/>
      <c r="I175" s="11"/>
      <c r="J175" s="6"/>
      <c r="K175" s="11"/>
      <c r="L175" s="11"/>
      <c r="N175" s="4" t="str">
        <f t="array" ref="N175">iferror(transpose(INDIRECT(SUBSTITUTE($C175," ","_"))),"")</f>
        <v/>
      </c>
      <c r="Z175" s="4" t="str">
        <f t="array" ref="Z175">iferror(transpose(INDIRECT(SUBSTITUTE($D175," ","_"))),"")</f>
        <v/>
      </c>
    </row>
    <row r="176" ht="15.75" customHeight="1">
      <c r="A176" s="11"/>
      <c r="B176" s="11"/>
      <c r="C176" s="4" t="str">
        <f t="array" ref="C176">iferror(INDEX(Fixtures_Results!$E$2:$F$12,MATCH($A176,Fixtures_Results!$A$2:$A$12,0),MATCH("BatTeam"&amp;$B176,Fixtures_Results!$E$1:$F$1,0)),"")</f>
        <v/>
      </c>
      <c r="D176" s="4" t="str">
        <f t="array" ref="D176">iferror(INDEX(Fixtures_Results!$E$2:$F$12,MATCH($A176,Fixtures_Results!$A$2:$A$12,0),MATCH("BatTeam"&amp;2*1/$B176,Fixtures_Results!$E$1:$F$1,0)),"")</f>
        <v/>
      </c>
      <c r="E176" s="6"/>
      <c r="F176" s="11"/>
      <c r="G176" s="11"/>
      <c r="H176" s="11"/>
      <c r="I176" s="11"/>
      <c r="J176" s="6"/>
      <c r="K176" s="11"/>
      <c r="L176" s="11"/>
      <c r="N176" s="4" t="str">
        <f t="array" ref="N176">iferror(transpose(INDIRECT(SUBSTITUTE($C176," ","_"))),"")</f>
        <v/>
      </c>
      <c r="Z176" s="4" t="str">
        <f t="array" ref="Z176">iferror(transpose(INDIRECT(SUBSTITUTE($D176," ","_"))),"")</f>
        <v/>
      </c>
    </row>
    <row r="177" ht="15.75" customHeight="1">
      <c r="A177" s="11"/>
      <c r="B177" s="11"/>
      <c r="C177" s="4" t="str">
        <f t="array" ref="C177">iferror(INDEX(Fixtures_Results!$E$2:$F$12,MATCH($A177,Fixtures_Results!$A$2:$A$12,0),MATCH("BatTeam"&amp;$B177,Fixtures_Results!$E$1:$F$1,0)),"")</f>
        <v/>
      </c>
      <c r="D177" s="4" t="str">
        <f t="array" ref="D177">iferror(INDEX(Fixtures_Results!$E$2:$F$12,MATCH($A177,Fixtures_Results!$A$2:$A$12,0),MATCH("BatTeam"&amp;2*1/$B177,Fixtures_Results!$E$1:$F$1,0)),"")</f>
        <v/>
      </c>
      <c r="E177" s="6"/>
      <c r="F177" s="11"/>
      <c r="G177" s="11"/>
      <c r="H177" s="11"/>
      <c r="I177" s="11"/>
      <c r="J177" s="6"/>
      <c r="K177" s="11"/>
      <c r="L177" s="11"/>
      <c r="N177" s="4" t="str">
        <f t="array" ref="N177">iferror(transpose(INDIRECT(SUBSTITUTE($C177," ","_"))),"")</f>
        <v/>
      </c>
      <c r="Z177" s="4" t="str">
        <f t="array" ref="Z177">iferror(transpose(INDIRECT(SUBSTITUTE($D177," ","_"))),"")</f>
        <v/>
      </c>
    </row>
    <row r="178" ht="15.75" customHeight="1">
      <c r="A178" s="11"/>
      <c r="B178" s="11"/>
      <c r="C178" s="4" t="str">
        <f t="array" ref="C178">iferror(INDEX(Fixtures_Results!$E$2:$F$12,MATCH($A178,Fixtures_Results!$A$2:$A$12,0),MATCH("BatTeam"&amp;$B178,Fixtures_Results!$E$1:$F$1,0)),"")</f>
        <v/>
      </c>
      <c r="D178" s="4" t="str">
        <f t="array" ref="D178">iferror(INDEX(Fixtures_Results!$E$2:$F$12,MATCH($A178,Fixtures_Results!$A$2:$A$12,0),MATCH("BatTeam"&amp;2*1/$B178,Fixtures_Results!$E$1:$F$1,0)),"")</f>
        <v/>
      </c>
      <c r="E178" s="6"/>
      <c r="F178" s="11"/>
      <c r="G178" s="11"/>
      <c r="H178" s="11"/>
      <c r="I178" s="11"/>
      <c r="J178" s="6"/>
      <c r="K178" s="11"/>
      <c r="L178" s="11"/>
      <c r="N178" s="4" t="str">
        <f t="array" ref="N178">iferror(transpose(INDIRECT(SUBSTITUTE($C178," ","_"))),"")</f>
        <v/>
      </c>
      <c r="Z178" s="4" t="str">
        <f t="array" ref="Z178">iferror(transpose(INDIRECT(SUBSTITUTE($D178," ","_"))),"")</f>
        <v/>
      </c>
    </row>
    <row r="179" ht="15.75" customHeight="1">
      <c r="A179" s="11"/>
      <c r="B179" s="11"/>
      <c r="C179" s="4" t="str">
        <f t="array" ref="C179">iferror(INDEX(Fixtures_Results!$E$2:$F$12,MATCH($A179,Fixtures_Results!$A$2:$A$12,0),MATCH("BatTeam"&amp;$B179,Fixtures_Results!$E$1:$F$1,0)),"")</f>
        <v/>
      </c>
      <c r="D179" s="4" t="str">
        <f t="array" ref="D179">iferror(INDEX(Fixtures_Results!$E$2:$F$12,MATCH($A179,Fixtures_Results!$A$2:$A$12,0),MATCH("BatTeam"&amp;2*1/$B179,Fixtures_Results!$E$1:$F$1,0)),"")</f>
        <v/>
      </c>
      <c r="E179" s="6"/>
      <c r="F179" s="11"/>
      <c r="G179" s="11"/>
      <c r="H179" s="11"/>
      <c r="I179" s="11"/>
      <c r="J179" s="6"/>
      <c r="K179" s="11"/>
      <c r="L179" s="11"/>
      <c r="N179" s="4" t="str">
        <f t="array" ref="N179">iferror(transpose(INDIRECT(SUBSTITUTE($C179," ","_"))),"")</f>
        <v/>
      </c>
      <c r="Z179" s="4" t="str">
        <f t="array" ref="Z179">iferror(transpose(INDIRECT(SUBSTITUTE($D179," ","_"))),"")</f>
        <v/>
      </c>
    </row>
    <row r="180" ht="15.75" customHeight="1">
      <c r="A180" s="11"/>
      <c r="B180" s="11"/>
      <c r="C180" s="4" t="str">
        <f t="array" ref="C180">iferror(INDEX(Fixtures_Results!$E$2:$F$12,MATCH($A180,Fixtures_Results!$A$2:$A$12,0),MATCH("BatTeam"&amp;$B180,Fixtures_Results!$E$1:$F$1,0)),"")</f>
        <v/>
      </c>
      <c r="D180" s="4" t="str">
        <f t="array" ref="D180">iferror(INDEX(Fixtures_Results!$E$2:$F$12,MATCH($A180,Fixtures_Results!$A$2:$A$12,0),MATCH("BatTeam"&amp;2*1/$B180,Fixtures_Results!$E$1:$F$1,0)),"")</f>
        <v/>
      </c>
      <c r="E180" s="6"/>
      <c r="F180" s="11"/>
      <c r="G180" s="11"/>
      <c r="H180" s="11"/>
      <c r="I180" s="11"/>
      <c r="J180" s="6"/>
      <c r="K180" s="11"/>
      <c r="L180" s="11"/>
      <c r="N180" s="4" t="str">
        <f t="array" ref="N180">iferror(transpose(INDIRECT(SUBSTITUTE($C180," ","_"))),"")</f>
        <v/>
      </c>
      <c r="Z180" s="4" t="str">
        <f t="array" ref="Z180">iferror(transpose(INDIRECT(SUBSTITUTE($D180," ","_"))),"")</f>
        <v/>
      </c>
    </row>
    <row r="181" ht="15.75" customHeight="1">
      <c r="A181" s="11"/>
      <c r="B181" s="11"/>
      <c r="C181" s="4" t="str">
        <f t="array" ref="C181">iferror(INDEX(Fixtures_Results!$E$2:$F$12,MATCH($A181,Fixtures_Results!$A$2:$A$12,0),MATCH("BatTeam"&amp;$B181,Fixtures_Results!$E$1:$F$1,0)),"")</f>
        <v/>
      </c>
      <c r="D181" s="4" t="str">
        <f t="array" ref="D181">iferror(INDEX(Fixtures_Results!$E$2:$F$12,MATCH($A181,Fixtures_Results!$A$2:$A$12,0),MATCH("BatTeam"&amp;2*1/$B181,Fixtures_Results!$E$1:$F$1,0)),"")</f>
        <v/>
      </c>
      <c r="E181" s="6"/>
      <c r="F181" s="11"/>
      <c r="G181" s="11"/>
      <c r="H181" s="11"/>
      <c r="I181" s="11"/>
      <c r="J181" s="6"/>
      <c r="K181" s="11"/>
      <c r="L181" s="11"/>
      <c r="N181" s="4" t="str">
        <f t="array" ref="N181">iferror(transpose(INDIRECT(SUBSTITUTE($C181," ","_"))),"")</f>
        <v/>
      </c>
      <c r="Z181" s="4" t="str">
        <f t="array" ref="Z181">iferror(transpose(INDIRECT(SUBSTITUTE($D181," ","_"))),"")</f>
        <v/>
      </c>
    </row>
    <row r="182" ht="15.75" customHeight="1">
      <c r="A182" s="11"/>
      <c r="B182" s="11"/>
      <c r="C182" s="4" t="str">
        <f t="array" ref="C182">iferror(INDEX(Fixtures_Results!$E$2:$F$12,MATCH($A182,Fixtures_Results!$A$2:$A$12,0),MATCH("BatTeam"&amp;$B182,Fixtures_Results!$E$1:$F$1,0)),"")</f>
        <v/>
      </c>
      <c r="D182" s="4" t="str">
        <f t="array" ref="D182">iferror(INDEX(Fixtures_Results!$E$2:$F$12,MATCH($A182,Fixtures_Results!$A$2:$A$12,0),MATCH("BatTeam"&amp;2*1/$B182,Fixtures_Results!$E$1:$F$1,0)),"")</f>
        <v/>
      </c>
      <c r="E182" s="6"/>
      <c r="F182" s="11"/>
      <c r="G182" s="11"/>
      <c r="H182" s="11"/>
      <c r="I182" s="11"/>
      <c r="J182" s="6"/>
      <c r="K182" s="11"/>
      <c r="L182" s="11"/>
      <c r="N182" s="4" t="str">
        <f t="array" ref="N182">iferror(transpose(INDIRECT(SUBSTITUTE($C182," ","_"))),"")</f>
        <v/>
      </c>
      <c r="Z182" s="4" t="str">
        <f t="array" ref="Z182">iferror(transpose(INDIRECT(SUBSTITUTE($D182," ","_"))),"")</f>
        <v/>
      </c>
    </row>
    <row r="183" ht="15.75" customHeight="1">
      <c r="A183" s="11"/>
      <c r="B183" s="11"/>
      <c r="C183" s="4" t="str">
        <f t="array" ref="C183">iferror(INDEX(Fixtures_Results!$E$2:$F$12,MATCH($A183,Fixtures_Results!$A$2:$A$12,0),MATCH("BatTeam"&amp;$B183,Fixtures_Results!$E$1:$F$1,0)),"")</f>
        <v/>
      </c>
      <c r="D183" s="4" t="str">
        <f t="array" ref="D183">iferror(INDEX(Fixtures_Results!$E$2:$F$12,MATCH($A183,Fixtures_Results!$A$2:$A$12,0),MATCH("BatTeam"&amp;2*1/$B183,Fixtures_Results!$E$1:$F$1,0)),"")</f>
        <v/>
      </c>
      <c r="E183" s="6"/>
      <c r="F183" s="11"/>
      <c r="G183" s="11"/>
      <c r="H183" s="11"/>
      <c r="I183" s="11"/>
      <c r="J183" s="6"/>
      <c r="K183" s="11"/>
      <c r="L183" s="11"/>
      <c r="N183" s="4" t="str">
        <f t="array" ref="N183">iferror(transpose(INDIRECT(SUBSTITUTE($C183," ","_"))),"")</f>
        <v/>
      </c>
      <c r="Z183" s="4" t="str">
        <f t="array" ref="Z183">iferror(transpose(INDIRECT(SUBSTITUTE($D183," ","_"))),"")</f>
        <v/>
      </c>
    </row>
    <row r="184" ht="15.75" customHeight="1">
      <c r="A184" s="11"/>
      <c r="B184" s="11"/>
      <c r="C184" s="4" t="str">
        <f t="array" ref="C184">iferror(INDEX(Fixtures_Results!$E$2:$F$12,MATCH($A184,Fixtures_Results!$A$2:$A$12,0),MATCH("BatTeam"&amp;$B184,Fixtures_Results!$E$1:$F$1,0)),"")</f>
        <v/>
      </c>
      <c r="D184" s="4" t="str">
        <f t="array" ref="D184">iferror(INDEX(Fixtures_Results!$E$2:$F$12,MATCH($A184,Fixtures_Results!$A$2:$A$12,0),MATCH("BatTeam"&amp;2*1/$B184,Fixtures_Results!$E$1:$F$1,0)),"")</f>
        <v/>
      </c>
      <c r="E184" s="6"/>
      <c r="F184" s="11"/>
      <c r="G184" s="11"/>
      <c r="H184" s="11"/>
      <c r="I184" s="11"/>
      <c r="J184" s="6"/>
      <c r="K184" s="11"/>
      <c r="L184" s="11"/>
      <c r="N184" s="4" t="str">
        <f t="array" ref="N184">iferror(transpose(INDIRECT(SUBSTITUTE($C184," ","_"))),"")</f>
        <v/>
      </c>
      <c r="Z184" s="4" t="str">
        <f t="array" ref="Z184">iferror(transpose(INDIRECT(SUBSTITUTE($D184," ","_"))),"")</f>
        <v/>
      </c>
    </row>
    <row r="185" ht="15.75" customHeight="1">
      <c r="A185" s="11"/>
      <c r="B185" s="11"/>
      <c r="C185" s="4" t="str">
        <f t="array" ref="C185">iferror(INDEX(Fixtures_Results!$E$2:$F$12,MATCH($A185,Fixtures_Results!$A$2:$A$12,0),MATCH("BatTeam"&amp;$B185,Fixtures_Results!$E$1:$F$1,0)),"")</f>
        <v/>
      </c>
      <c r="D185" s="4" t="str">
        <f t="array" ref="D185">iferror(INDEX(Fixtures_Results!$E$2:$F$12,MATCH($A185,Fixtures_Results!$A$2:$A$12,0),MATCH("BatTeam"&amp;2*1/$B185,Fixtures_Results!$E$1:$F$1,0)),"")</f>
        <v/>
      </c>
      <c r="E185" s="6"/>
      <c r="F185" s="11"/>
      <c r="G185" s="11"/>
      <c r="H185" s="11"/>
      <c r="I185" s="11"/>
      <c r="J185" s="6"/>
      <c r="K185" s="11"/>
      <c r="L185" s="11"/>
      <c r="N185" s="4" t="str">
        <f t="array" ref="N185">iferror(transpose(INDIRECT(SUBSTITUTE($C185," ","_"))),"")</f>
        <v/>
      </c>
      <c r="Z185" s="4" t="str">
        <f t="array" ref="Z185">iferror(transpose(INDIRECT(SUBSTITUTE($D185," ","_"))),"")</f>
        <v/>
      </c>
    </row>
    <row r="186" ht="15.75" customHeight="1">
      <c r="A186" s="11"/>
      <c r="B186" s="11"/>
      <c r="C186" s="4" t="str">
        <f t="array" ref="C186">iferror(INDEX(Fixtures_Results!$E$2:$F$12,MATCH($A186,Fixtures_Results!$A$2:$A$12,0),MATCH("BatTeam"&amp;$B186,Fixtures_Results!$E$1:$F$1,0)),"")</f>
        <v/>
      </c>
      <c r="D186" s="4" t="str">
        <f t="array" ref="D186">iferror(INDEX(Fixtures_Results!$E$2:$F$12,MATCH($A186,Fixtures_Results!$A$2:$A$12,0),MATCH("BatTeam"&amp;2*1/$B186,Fixtures_Results!$E$1:$F$1,0)),"")</f>
        <v/>
      </c>
      <c r="E186" s="6"/>
      <c r="F186" s="11"/>
      <c r="G186" s="11"/>
      <c r="H186" s="11"/>
      <c r="I186" s="11"/>
      <c r="J186" s="6"/>
      <c r="K186" s="11"/>
      <c r="L186" s="11"/>
      <c r="N186" s="4" t="str">
        <f t="array" ref="N186">iferror(transpose(INDIRECT(SUBSTITUTE($C186," ","_"))),"")</f>
        <v/>
      </c>
      <c r="Z186" s="4" t="str">
        <f t="array" ref="Z186">iferror(transpose(INDIRECT(SUBSTITUTE($D186," ","_"))),"")</f>
        <v/>
      </c>
    </row>
    <row r="187" ht="15.75" customHeight="1">
      <c r="A187" s="11"/>
      <c r="B187" s="11"/>
      <c r="C187" s="4" t="str">
        <f t="array" ref="C187">iferror(INDEX(Fixtures_Results!$E$2:$F$12,MATCH($A187,Fixtures_Results!$A$2:$A$12,0),MATCH("BatTeam"&amp;$B187,Fixtures_Results!$E$1:$F$1,0)),"")</f>
        <v/>
      </c>
      <c r="D187" s="4" t="str">
        <f t="array" ref="D187">iferror(INDEX(Fixtures_Results!$E$2:$F$12,MATCH($A187,Fixtures_Results!$A$2:$A$12,0),MATCH("BatTeam"&amp;2*1/$B187,Fixtures_Results!$E$1:$F$1,0)),"")</f>
        <v/>
      </c>
      <c r="E187" s="6"/>
      <c r="F187" s="11"/>
      <c r="G187" s="11"/>
      <c r="H187" s="11"/>
      <c r="I187" s="11"/>
      <c r="J187" s="6"/>
      <c r="K187" s="11"/>
      <c r="L187" s="11"/>
      <c r="N187" s="4" t="str">
        <f t="array" ref="N187">iferror(transpose(INDIRECT(SUBSTITUTE($C187," ","_"))),"")</f>
        <v/>
      </c>
      <c r="Z187" s="4" t="str">
        <f t="array" ref="Z187">iferror(transpose(INDIRECT(SUBSTITUTE($D187," ","_"))),"")</f>
        <v/>
      </c>
    </row>
    <row r="188" ht="15.75" customHeight="1">
      <c r="A188" s="11"/>
      <c r="B188" s="11"/>
      <c r="C188" s="4" t="str">
        <f t="array" ref="C188">iferror(INDEX(Fixtures_Results!$E$2:$F$12,MATCH($A188,Fixtures_Results!$A$2:$A$12,0),MATCH("BatTeam"&amp;$B188,Fixtures_Results!$E$1:$F$1,0)),"")</f>
        <v/>
      </c>
      <c r="D188" s="4" t="str">
        <f t="array" ref="D188">iferror(INDEX(Fixtures_Results!$E$2:$F$12,MATCH($A188,Fixtures_Results!$A$2:$A$12,0),MATCH("BatTeam"&amp;2*1/$B188,Fixtures_Results!$E$1:$F$1,0)),"")</f>
        <v/>
      </c>
      <c r="E188" s="6"/>
      <c r="F188" s="11"/>
      <c r="G188" s="11"/>
      <c r="H188" s="11"/>
      <c r="I188" s="11"/>
      <c r="J188" s="6"/>
      <c r="K188" s="11"/>
      <c r="L188" s="11"/>
      <c r="N188" s="4" t="str">
        <f t="array" ref="N188">iferror(transpose(INDIRECT(SUBSTITUTE($C188," ","_"))),"")</f>
        <v/>
      </c>
      <c r="Z188" s="4" t="str">
        <f t="array" ref="Z188">iferror(transpose(INDIRECT(SUBSTITUTE($D188," ","_"))),"")</f>
        <v/>
      </c>
    </row>
    <row r="189" ht="15.75" customHeight="1">
      <c r="A189" s="11"/>
      <c r="B189" s="11"/>
      <c r="C189" s="4" t="str">
        <f t="array" ref="C189">iferror(INDEX(Fixtures_Results!$E$2:$F$12,MATCH($A189,Fixtures_Results!$A$2:$A$12,0),MATCH("BatTeam"&amp;$B189,Fixtures_Results!$E$1:$F$1,0)),"")</f>
        <v/>
      </c>
      <c r="D189" s="4" t="str">
        <f t="array" ref="D189">iferror(INDEX(Fixtures_Results!$E$2:$F$12,MATCH($A189,Fixtures_Results!$A$2:$A$12,0),MATCH("BatTeam"&amp;2*1/$B189,Fixtures_Results!$E$1:$F$1,0)),"")</f>
        <v/>
      </c>
      <c r="E189" s="6"/>
      <c r="F189" s="11"/>
      <c r="G189" s="11"/>
      <c r="H189" s="11"/>
      <c r="I189" s="11"/>
      <c r="J189" s="6"/>
      <c r="K189" s="11"/>
      <c r="L189" s="11"/>
      <c r="N189" s="4" t="str">
        <f t="array" ref="N189">iferror(transpose(INDIRECT(SUBSTITUTE($C189," ","_"))),"")</f>
        <v/>
      </c>
      <c r="Z189" s="4" t="str">
        <f t="array" ref="Z189">iferror(transpose(INDIRECT(SUBSTITUTE($D189," ","_"))),"")</f>
        <v/>
      </c>
    </row>
    <row r="190" ht="15.75" customHeight="1">
      <c r="A190" s="11"/>
      <c r="B190" s="11"/>
      <c r="C190" s="4" t="str">
        <f t="array" ref="C190">iferror(INDEX(Fixtures_Results!$E$2:$F$12,MATCH($A190,Fixtures_Results!$A$2:$A$12,0),MATCH("BatTeam"&amp;$B190,Fixtures_Results!$E$1:$F$1,0)),"")</f>
        <v/>
      </c>
      <c r="D190" s="4" t="str">
        <f t="array" ref="D190">iferror(INDEX(Fixtures_Results!$E$2:$F$12,MATCH($A190,Fixtures_Results!$A$2:$A$12,0),MATCH("BatTeam"&amp;2*1/$B190,Fixtures_Results!$E$1:$F$1,0)),"")</f>
        <v/>
      </c>
      <c r="E190" s="6"/>
      <c r="F190" s="11"/>
      <c r="G190" s="11"/>
      <c r="H190" s="11"/>
      <c r="I190" s="11"/>
      <c r="J190" s="6"/>
      <c r="K190" s="11"/>
      <c r="L190" s="11"/>
      <c r="N190" s="4" t="str">
        <f t="array" ref="N190">iferror(transpose(INDIRECT(SUBSTITUTE($C190," ","_"))),"")</f>
        <v/>
      </c>
      <c r="Z190" s="4" t="str">
        <f t="array" ref="Z190">iferror(transpose(INDIRECT(SUBSTITUTE($D190," ","_"))),"")</f>
        <v/>
      </c>
    </row>
    <row r="191" ht="15.75" customHeight="1">
      <c r="A191" s="11"/>
      <c r="B191" s="11"/>
      <c r="C191" s="4" t="str">
        <f t="array" ref="C191">iferror(INDEX(Fixtures_Results!$E$2:$F$12,MATCH($A191,Fixtures_Results!$A$2:$A$12,0),MATCH("BatTeam"&amp;$B191,Fixtures_Results!$E$1:$F$1,0)),"")</f>
        <v/>
      </c>
      <c r="D191" s="4" t="str">
        <f t="array" ref="D191">iferror(INDEX(Fixtures_Results!$E$2:$F$12,MATCH($A191,Fixtures_Results!$A$2:$A$12,0),MATCH("BatTeam"&amp;2*1/$B191,Fixtures_Results!$E$1:$F$1,0)),"")</f>
        <v/>
      </c>
      <c r="E191" s="6"/>
      <c r="F191" s="11"/>
      <c r="G191" s="11"/>
      <c r="H191" s="11"/>
      <c r="I191" s="11"/>
      <c r="J191" s="6"/>
      <c r="K191" s="11"/>
      <c r="L191" s="11"/>
      <c r="N191" s="4" t="str">
        <f t="array" ref="N191">iferror(transpose(INDIRECT(SUBSTITUTE($C191," ","_"))),"")</f>
        <v/>
      </c>
      <c r="Z191" s="4" t="str">
        <f t="array" ref="Z191">iferror(transpose(INDIRECT(SUBSTITUTE($D191," ","_"))),"")</f>
        <v/>
      </c>
    </row>
    <row r="192" ht="15.75" customHeight="1">
      <c r="A192" s="11"/>
      <c r="B192" s="11"/>
      <c r="C192" s="4" t="str">
        <f t="array" ref="C192">iferror(INDEX(Fixtures_Results!$E$2:$F$12,MATCH($A192,Fixtures_Results!$A$2:$A$12,0),MATCH("BatTeam"&amp;$B192,Fixtures_Results!$E$1:$F$1,0)),"")</f>
        <v/>
      </c>
      <c r="D192" s="4" t="str">
        <f t="array" ref="D192">iferror(INDEX(Fixtures_Results!$E$2:$F$12,MATCH($A192,Fixtures_Results!$A$2:$A$12,0),MATCH("BatTeam"&amp;2*1/$B192,Fixtures_Results!$E$1:$F$1,0)),"")</f>
        <v/>
      </c>
      <c r="E192" s="6"/>
      <c r="F192" s="11"/>
      <c r="G192" s="11"/>
      <c r="H192" s="11"/>
      <c r="I192" s="11"/>
      <c r="J192" s="6"/>
      <c r="K192" s="11"/>
      <c r="L192" s="11"/>
      <c r="N192" s="4" t="str">
        <f t="array" ref="N192">iferror(transpose(INDIRECT(SUBSTITUTE($C192," ","_"))),"")</f>
        <v/>
      </c>
      <c r="Z192" s="4" t="str">
        <f t="array" ref="Z192">iferror(transpose(INDIRECT(SUBSTITUTE($D192," ","_"))),"")</f>
        <v/>
      </c>
    </row>
    <row r="193" ht="15.75" customHeight="1">
      <c r="A193" s="11"/>
      <c r="B193" s="11"/>
      <c r="C193" s="4" t="str">
        <f t="array" ref="C193">iferror(INDEX(Fixtures_Results!$E$2:$F$12,MATCH($A193,Fixtures_Results!$A$2:$A$12,0),MATCH("BatTeam"&amp;$B193,Fixtures_Results!$E$1:$F$1,0)),"")</f>
        <v/>
      </c>
      <c r="D193" s="4" t="str">
        <f t="array" ref="D193">iferror(INDEX(Fixtures_Results!$E$2:$F$12,MATCH($A193,Fixtures_Results!$A$2:$A$12,0),MATCH("BatTeam"&amp;2*1/$B193,Fixtures_Results!$E$1:$F$1,0)),"")</f>
        <v/>
      </c>
      <c r="E193" s="6"/>
      <c r="F193" s="11"/>
      <c r="G193" s="11"/>
      <c r="H193" s="11"/>
      <c r="I193" s="11"/>
      <c r="J193" s="6"/>
      <c r="K193" s="11"/>
      <c r="L193" s="11"/>
      <c r="N193" s="4" t="str">
        <f t="array" ref="N193">iferror(transpose(INDIRECT(SUBSTITUTE($C193," ","_"))),"")</f>
        <v/>
      </c>
      <c r="Z193" s="4" t="str">
        <f t="array" ref="Z193">iferror(transpose(INDIRECT(SUBSTITUTE($D193," ","_"))),"")</f>
        <v/>
      </c>
    </row>
    <row r="194" ht="15.75" customHeight="1">
      <c r="A194" s="11"/>
      <c r="B194" s="11"/>
      <c r="C194" s="4" t="str">
        <f t="array" ref="C194">iferror(INDEX(Fixtures_Results!$E$2:$F$12,MATCH($A194,Fixtures_Results!$A$2:$A$12,0),MATCH("BatTeam"&amp;$B194,Fixtures_Results!$E$1:$F$1,0)),"")</f>
        <v/>
      </c>
      <c r="D194" s="4" t="str">
        <f t="array" ref="D194">iferror(INDEX(Fixtures_Results!$E$2:$F$12,MATCH($A194,Fixtures_Results!$A$2:$A$12,0),MATCH("BatTeam"&amp;2*1/$B194,Fixtures_Results!$E$1:$F$1,0)),"")</f>
        <v/>
      </c>
      <c r="E194" s="6"/>
      <c r="F194" s="11"/>
      <c r="G194" s="11"/>
      <c r="H194" s="11"/>
      <c r="I194" s="11"/>
      <c r="J194" s="6"/>
      <c r="K194" s="11"/>
      <c r="L194" s="11"/>
      <c r="N194" s="4" t="str">
        <f t="array" ref="N194">iferror(transpose(INDIRECT(SUBSTITUTE($C194," ","_"))),"")</f>
        <v/>
      </c>
      <c r="Z194" s="4" t="str">
        <f t="array" ref="Z194">iferror(transpose(INDIRECT(SUBSTITUTE($D194," ","_"))),"")</f>
        <v/>
      </c>
    </row>
    <row r="195" ht="15.75" customHeight="1">
      <c r="A195" s="11"/>
      <c r="B195" s="11"/>
      <c r="C195" s="4" t="str">
        <f t="array" ref="C195">iferror(INDEX(Fixtures_Results!$E$2:$F$12,MATCH($A195,Fixtures_Results!$A$2:$A$12,0),MATCH("BatTeam"&amp;$B195,Fixtures_Results!$E$1:$F$1,0)),"")</f>
        <v/>
      </c>
      <c r="D195" s="4" t="str">
        <f t="array" ref="D195">iferror(INDEX(Fixtures_Results!$E$2:$F$12,MATCH($A195,Fixtures_Results!$A$2:$A$12,0),MATCH("BatTeam"&amp;2*1/$B195,Fixtures_Results!$E$1:$F$1,0)),"")</f>
        <v/>
      </c>
      <c r="E195" s="6"/>
      <c r="F195" s="11"/>
      <c r="G195" s="11"/>
      <c r="H195" s="11"/>
      <c r="I195" s="11"/>
      <c r="J195" s="6"/>
      <c r="K195" s="11"/>
      <c r="L195" s="11"/>
      <c r="N195" s="4" t="str">
        <f t="array" ref="N195">iferror(transpose(INDIRECT(SUBSTITUTE($C195," ","_"))),"")</f>
        <v/>
      </c>
      <c r="Z195" s="4" t="str">
        <f t="array" ref="Z195">iferror(transpose(INDIRECT(SUBSTITUTE($D195," ","_"))),"")</f>
        <v/>
      </c>
    </row>
    <row r="196" ht="15.75" customHeight="1">
      <c r="A196" s="11"/>
      <c r="B196" s="11"/>
      <c r="C196" s="4" t="str">
        <f t="array" ref="C196">iferror(INDEX(Fixtures_Results!$E$2:$F$12,MATCH($A196,Fixtures_Results!$A$2:$A$12,0),MATCH("BatTeam"&amp;$B196,Fixtures_Results!$E$1:$F$1,0)),"")</f>
        <v/>
      </c>
      <c r="D196" s="4" t="str">
        <f t="array" ref="D196">iferror(INDEX(Fixtures_Results!$E$2:$F$12,MATCH($A196,Fixtures_Results!$A$2:$A$12,0),MATCH("BatTeam"&amp;2*1/$B196,Fixtures_Results!$E$1:$F$1,0)),"")</f>
        <v/>
      </c>
      <c r="E196" s="6"/>
      <c r="F196" s="11"/>
      <c r="G196" s="11"/>
      <c r="H196" s="11"/>
      <c r="I196" s="11"/>
      <c r="J196" s="6"/>
      <c r="K196" s="11"/>
      <c r="L196" s="11"/>
      <c r="N196" s="4" t="str">
        <f t="array" ref="N196">iferror(transpose(INDIRECT(SUBSTITUTE($C196," ","_"))),"")</f>
        <v/>
      </c>
      <c r="Z196" s="4" t="str">
        <f t="array" ref="Z196">iferror(transpose(INDIRECT(SUBSTITUTE($D196," ","_"))),"")</f>
        <v/>
      </c>
    </row>
    <row r="197" ht="15.75" customHeight="1">
      <c r="A197" s="11"/>
      <c r="B197" s="11"/>
      <c r="C197" s="4" t="str">
        <f t="array" ref="C197">iferror(INDEX(Fixtures_Results!$E$2:$F$12,MATCH($A197,Fixtures_Results!$A$2:$A$12,0),MATCH("BatTeam"&amp;$B197,Fixtures_Results!$E$1:$F$1,0)),"")</f>
        <v/>
      </c>
      <c r="D197" s="4" t="str">
        <f t="array" ref="D197">iferror(INDEX(Fixtures_Results!$E$2:$F$12,MATCH($A197,Fixtures_Results!$A$2:$A$12,0),MATCH("BatTeam"&amp;2*1/$B197,Fixtures_Results!$E$1:$F$1,0)),"")</f>
        <v/>
      </c>
      <c r="E197" s="6"/>
      <c r="F197" s="11"/>
      <c r="G197" s="11"/>
      <c r="H197" s="11"/>
      <c r="I197" s="11"/>
      <c r="J197" s="6"/>
      <c r="K197" s="11"/>
      <c r="L197" s="11"/>
      <c r="N197" s="4" t="str">
        <f t="array" ref="N197">iferror(transpose(INDIRECT(SUBSTITUTE($C197," ","_"))),"")</f>
        <v/>
      </c>
      <c r="Z197" s="4" t="str">
        <f t="array" ref="Z197">iferror(transpose(INDIRECT(SUBSTITUTE($D197," ","_"))),"")</f>
        <v/>
      </c>
    </row>
    <row r="198" ht="15.75" customHeight="1">
      <c r="A198" s="11"/>
      <c r="B198" s="11"/>
      <c r="C198" s="4" t="str">
        <f t="array" ref="C198">iferror(INDEX(Fixtures_Results!$E$2:$F$12,MATCH($A198,Fixtures_Results!$A$2:$A$12,0),MATCH("BatTeam"&amp;$B198,Fixtures_Results!$E$1:$F$1,0)),"")</f>
        <v/>
      </c>
      <c r="D198" s="4" t="str">
        <f t="array" ref="D198">iferror(INDEX(Fixtures_Results!$E$2:$F$12,MATCH($A198,Fixtures_Results!$A$2:$A$12,0),MATCH("BatTeam"&amp;2*1/$B198,Fixtures_Results!$E$1:$F$1,0)),"")</f>
        <v/>
      </c>
      <c r="E198" s="6"/>
      <c r="F198" s="11"/>
      <c r="G198" s="11"/>
      <c r="H198" s="11"/>
      <c r="I198" s="11"/>
      <c r="J198" s="6"/>
      <c r="K198" s="11"/>
      <c r="L198" s="11"/>
      <c r="N198" s="4" t="str">
        <f t="array" ref="N198">iferror(transpose(INDIRECT(SUBSTITUTE($C198," ","_"))),"")</f>
        <v/>
      </c>
      <c r="Z198" s="4" t="str">
        <f t="array" ref="Z198">iferror(transpose(INDIRECT(SUBSTITUTE($D198," ","_"))),"")</f>
        <v/>
      </c>
    </row>
    <row r="199" ht="15.75" customHeight="1">
      <c r="A199" s="11"/>
      <c r="B199" s="11"/>
      <c r="C199" s="4" t="str">
        <f t="array" ref="C199">iferror(INDEX(Fixtures_Results!$E$2:$F$12,MATCH($A199,Fixtures_Results!$A$2:$A$12,0),MATCH("BatTeam"&amp;$B199,Fixtures_Results!$E$1:$F$1,0)),"")</f>
        <v/>
      </c>
      <c r="D199" s="4" t="str">
        <f t="array" ref="D199">iferror(INDEX(Fixtures_Results!$E$2:$F$12,MATCH($A199,Fixtures_Results!$A$2:$A$12,0),MATCH("BatTeam"&amp;2*1/$B199,Fixtures_Results!$E$1:$F$1,0)),"")</f>
        <v/>
      </c>
      <c r="E199" s="6"/>
      <c r="F199" s="11"/>
      <c r="G199" s="11"/>
      <c r="H199" s="11"/>
      <c r="I199" s="11"/>
      <c r="J199" s="6"/>
      <c r="K199" s="11"/>
      <c r="L199" s="11"/>
      <c r="N199" s="4" t="str">
        <f t="array" ref="N199">iferror(transpose(INDIRECT(SUBSTITUTE($C199," ","_"))),"")</f>
        <v/>
      </c>
      <c r="Z199" s="4" t="str">
        <f t="array" ref="Z199">iferror(transpose(INDIRECT(SUBSTITUTE($D199," ","_"))),"")</f>
        <v/>
      </c>
    </row>
    <row r="200" ht="15.75" customHeight="1">
      <c r="A200" s="11"/>
      <c r="B200" s="11"/>
      <c r="C200" s="4" t="str">
        <f t="array" ref="C200">iferror(INDEX(Fixtures_Results!$E$2:$F$12,MATCH($A200,Fixtures_Results!$A$2:$A$12,0),MATCH("BatTeam"&amp;$B200,Fixtures_Results!$E$1:$F$1,0)),"")</f>
        <v/>
      </c>
      <c r="D200" s="4" t="str">
        <f t="array" ref="D200">iferror(INDEX(Fixtures_Results!$E$2:$F$12,MATCH($A200,Fixtures_Results!$A$2:$A$12,0),MATCH("BatTeam"&amp;2*1/$B200,Fixtures_Results!$E$1:$F$1,0)),"")</f>
        <v/>
      </c>
      <c r="E200" s="6"/>
      <c r="F200" s="11"/>
      <c r="G200" s="11"/>
      <c r="H200" s="11"/>
      <c r="I200" s="11"/>
      <c r="J200" s="6"/>
      <c r="K200" s="11"/>
      <c r="L200" s="11"/>
      <c r="N200" s="4" t="str">
        <f t="array" ref="N200">iferror(transpose(INDIRECT(SUBSTITUTE($C200," ","_"))),"")</f>
        <v/>
      </c>
      <c r="Z200" s="4" t="str">
        <f t="array" ref="Z200">iferror(transpose(INDIRECT(SUBSTITUTE($D200," ","_"))),"")</f>
        <v/>
      </c>
    </row>
    <row r="201" ht="15.75" customHeight="1">
      <c r="A201" s="11"/>
      <c r="B201" s="11"/>
      <c r="C201" s="4" t="str">
        <f t="array" ref="C201">iferror(INDEX(Fixtures_Results!$E$2:$F$12,MATCH($A201,Fixtures_Results!$A$2:$A$12,0),MATCH("BatTeam"&amp;$B201,Fixtures_Results!$E$1:$F$1,0)),"")</f>
        <v/>
      </c>
      <c r="D201" s="4" t="str">
        <f t="array" ref="D201">iferror(INDEX(Fixtures_Results!$E$2:$F$12,MATCH($A201,Fixtures_Results!$A$2:$A$12,0),MATCH("BatTeam"&amp;2*1/$B201,Fixtures_Results!$E$1:$F$1,0)),"")</f>
        <v/>
      </c>
      <c r="E201" s="6"/>
      <c r="F201" s="11"/>
      <c r="G201" s="11"/>
      <c r="H201" s="11"/>
      <c r="I201" s="11"/>
      <c r="J201" s="6"/>
      <c r="K201" s="11"/>
      <c r="L201" s="11"/>
      <c r="N201" s="4" t="str">
        <f t="array" ref="N201">iferror(transpose(INDIRECT(SUBSTITUTE($C201," ","_"))),"")</f>
        <v/>
      </c>
      <c r="Z201" s="4" t="str">
        <f t="array" ref="Z201">iferror(transpose(INDIRECT(SUBSTITUTE($D201," ","_"))),"")</f>
        <v/>
      </c>
    </row>
    <row r="202" ht="15.75" customHeight="1">
      <c r="A202" s="11"/>
      <c r="B202" s="11"/>
      <c r="C202" s="4" t="str">
        <f t="array" ref="C202">iferror(INDEX(Fixtures_Results!$E$2:$F$12,MATCH($A202,Fixtures_Results!$A$2:$A$12,0),MATCH("BatTeam"&amp;$B202,Fixtures_Results!$E$1:$F$1,0)),"")</f>
        <v/>
      </c>
      <c r="D202" s="4" t="str">
        <f t="array" ref="D202">iferror(INDEX(Fixtures_Results!$E$2:$F$12,MATCH($A202,Fixtures_Results!$A$2:$A$12,0),MATCH("BatTeam"&amp;2*1/$B202,Fixtures_Results!$E$1:$F$1,0)),"")</f>
        <v/>
      </c>
      <c r="E202" s="6"/>
      <c r="F202" s="11"/>
      <c r="G202" s="11"/>
      <c r="H202" s="11"/>
      <c r="I202" s="11"/>
      <c r="J202" s="6"/>
      <c r="K202" s="11"/>
      <c r="L202" s="11"/>
      <c r="N202" s="4" t="str">
        <f t="array" ref="N202">iferror(transpose(INDIRECT(SUBSTITUTE($C202," ","_"))),"")</f>
        <v/>
      </c>
      <c r="Z202" s="4" t="str">
        <f t="array" ref="Z202">iferror(transpose(INDIRECT(SUBSTITUTE($D202," ","_"))),"")</f>
        <v/>
      </c>
    </row>
    <row r="203" ht="15.75" customHeight="1">
      <c r="A203" s="11"/>
      <c r="B203" s="11"/>
      <c r="C203" s="4" t="str">
        <f t="array" ref="C203">iferror(INDEX(Fixtures_Results!$E$2:$F$12,MATCH($A203,Fixtures_Results!$A$2:$A$12,0),MATCH("BatTeam"&amp;$B203,Fixtures_Results!$E$1:$F$1,0)),"")</f>
        <v/>
      </c>
      <c r="D203" s="4" t="str">
        <f t="array" ref="D203">iferror(INDEX(Fixtures_Results!$E$2:$F$12,MATCH($A203,Fixtures_Results!$A$2:$A$12,0),MATCH("BatTeam"&amp;2*1/$B203,Fixtures_Results!$E$1:$F$1,0)),"")</f>
        <v/>
      </c>
      <c r="E203" s="6"/>
      <c r="F203" s="11"/>
      <c r="G203" s="11"/>
      <c r="H203" s="11"/>
      <c r="I203" s="11"/>
      <c r="J203" s="6"/>
      <c r="K203" s="11"/>
      <c r="L203" s="11"/>
      <c r="N203" s="4" t="str">
        <f t="array" ref="N203">iferror(transpose(INDIRECT(SUBSTITUTE($C203," ","_"))),"")</f>
        <v/>
      </c>
      <c r="Z203" s="4" t="str">
        <f t="array" ref="Z203">iferror(transpose(INDIRECT(SUBSTITUTE($D203," ","_"))),"")</f>
        <v/>
      </c>
    </row>
    <row r="204" ht="15.75" customHeight="1">
      <c r="A204" s="11"/>
      <c r="B204" s="11"/>
      <c r="C204" s="4" t="str">
        <f t="array" ref="C204">iferror(INDEX(Fixtures_Results!$E$2:$F$12,MATCH($A204,Fixtures_Results!$A$2:$A$12,0),MATCH("BatTeam"&amp;$B204,Fixtures_Results!$E$1:$F$1,0)),"")</f>
        <v/>
      </c>
      <c r="D204" s="4" t="str">
        <f t="array" ref="D204">iferror(INDEX(Fixtures_Results!$E$2:$F$12,MATCH($A204,Fixtures_Results!$A$2:$A$12,0),MATCH("BatTeam"&amp;2*1/$B204,Fixtures_Results!$E$1:$F$1,0)),"")</f>
        <v/>
      </c>
      <c r="E204" s="6"/>
      <c r="F204" s="11"/>
      <c r="G204" s="11"/>
      <c r="H204" s="11"/>
      <c r="I204" s="11"/>
      <c r="J204" s="6"/>
      <c r="K204" s="11"/>
      <c r="L204" s="11"/>
      <c r="N204" s="4" t="str">
        <f t="array" ref="N204">iferror(transpose(INDIRECT(SUBSTITUTE($C204," ","_"))),"")</f>
        <v/>
      </c>
      <c r="Z204" s="4" t="str">
        <f t="array" ref="Z204">iferror(transpose(INDIRECT(SUBSTITUTE($D204," ","_"))),"")</f>
        <v/>
      </c>
    </row>
    <row r="205" ht="15.75" customHeight="1">
      <c r="A205" s="11"/>
      <c r="B205" s="11"/>
      <c r="C205" s="4" t="str">
        <f t="array" ref="C205">iferror(INDEX(Fixtures_Results!$E$2:$F$12,MATCH($A205,Fixtures_Results!$A$2:$A$12,0),MATCH("BatTeam"&amp;$B205,Fixtures_Results!$E$1:$F$1,0)),"")</f>
        <v/>
      </c>
      <c r="D205" s="4" t="str">
        <f t="array" ref="D205">iferror(INDEX(Fixtures_Results!$E$2:$F$12,MATCH($A205,Fixtures_Results!$A$2:$A$12,0),MATCH("BatTeam"&amp;2*1/$B205,Fixtures_Results!$E$1:$F$1,0)),"")</f>
        <v/>
      </c>
      <c r="E205" s="6"/>
      <c r="F205" s="11"/>
      <c r="G205" s="11"/>
      <c r="H205" s="11"/>
      <c r="I205" s="11"/>
      <c r="J205" s="6"/>
      <c r="K205" s="11"/>
      <c r="L205" s="11"/>
      <c r="N205" s="4" t="str">
        <f t="array" ref="N205">iferror(transpose(INDIRECT(SUBSTITUTE($C205," ","_"))),"")</f>
        <v/>
      </c>
      <c r="Z205" s="4" t="str">
        <f t="array" ref="Z205">iferror(transpose(INDIRECT(SUBSTITUTE($D205," ","_"))),"")</f>
        <v/>
      </c>
    </row>
    <row r="206" ht="15.75" customHeight="1">
      <c r="A206" s="11"/>
      <c r="B206" s="11"/>
      <c r="C206" s="4" t="str">
        <f t="array" ref="C206">iferror(INDEX(Fixtures_Results!$E$2:$F$12,MATCH($A206,Fixtures_Results!$A$2:$A$12,0),MATCH("BatTeam"&amp;$B206,Fixtures_Results!$E$1:$F$1,0)),"")</f>
        <v/>
      </c>
      <c r="D206" s="4" t="str">
        <f t="array" ref="D206">iferror(INDEX(Fixtures_Results!$E$2:$F$12,MATCH($A206,Fixtures_Results!$A$2:$A$12,0),MATCH("BatTeam"&amp;2*1/$B206,Fixtures_Results!$E$1:$F$1,0)),"")</f>
        <v/>
      </c>
      <c r="E206" s="6"/>
      <c r="F206" s="11"/>
      <c r="G206" s="11"/>
      <c r="H206" s="11"/>
      <c r="I206" s="11"/>
      <c r="J206" s="6"/>
      <c r="K206" s="11"/>
      <c r="L206" s="11"/>
      <c r="N206" s="4" t="str">
        <f t="array" ref="N206">iferror(transpose(INDIRECT(SUBSTITUTE($C206," ","_"))),"")</f>
        <v/>
      </c>
      <c r="Z206" s="4" t="str">
        <f t="array" ref="Z206">iferror(transpose(INDIRECT(SUBSTITUTE($D206," ","_"))),"")</f>
        <v/>
      </c>
    </row>
    <row r="207" ht="15.75" customHeight="1">
      <c r="A207" s="11"/>
      <c r="B207" s="11"/>
      <c r="C207" s="4" t="str">
        <f t="array" ref="C207">iferror(INDEX(Fixtures_Results!$E$2:$F$12,MATCH($A207,Fixtures_Results!$A$2:$A$12,0),MATCH("BatTeam"&amp;$B207,Fixtures_Results!$E$1:$F$1,0)),"")</f>
        <v/>
      </c>
      <c r="D207" s="4" t="str">
        <f t="array" ref="D207">iferror(INDEX(Fixtures_Results!$E$2:$F$12,MATCH($A207,Fixtures_Results!$A$2:$A$12,0),MATCH("BatTeam"&amp;2*1/$B207,Fixtures_Results!$E$1:$F$1,0)),"")</f>
        <v/>
      </c>
      <c r="E207" s="6"/>
      <c r="F207" s="11"/>
      <c r="G207" s="11"/>
      <c r="H207" s="11"/>
      <c r="I207" s="11"/>
      <c r="J207" s="6"/>
      <c r="K207" s="11"/>
      <c r="L207" s="11"/>
      <c r="N207" s="4" t="str">
        <f t="array" ref="N207">iferror(transpose(INDIRECT(SUBSTITUTE($C207," ","_"))),"")</f>
        <v/>
      </c>
      <c r="Z207" s="4" t="str">
        <f t="array" ref="Z207">iferror(transpose(INDIRECT(SUBSTITUTE($D207," ","_"))),"")</f>
        <v/>
      </c>
    </row>
    <row r="208" ht="15.75" customHeight="1">
      <c r="A208" s="11"/>
      <c r="B208" s="11"/>
      <c r="C208" s="4" t="str">
        <f t="array" ref="C208">iferror(INDEX(Fixtures_Results!$E$2:$F$12,MATCH($A208,Fixtures_Results!$A$2:$A$12,0),MATCH("BatTeam"&amp;$B208,Fixtures_Results!$E$1:$F$1,0)),"")</f>
        <v/>
      </c>
      <c r="D208" s="4" t="str">
        <f t="array" ref="D208">iferror(INDEX(Fixtures_Results!$E$2:$F$12,MATCH($A208,Fixtures_Results!$A$2:$A$12,0),MATCH("BatTeam"&amp;2*1/$B208,Fixtures_Results!$E$1:$F$1,0)),"")</f>
        <v/>
      </c>
      <c r="E208" s="6"/>
      <c r="F208" s="11"/>
      <c r="G208" s="11"/>
      <c r="H208" s="11"/>
      <c r="I208" s="11"/>
      <c r="J208" s="6"/>
      <c r="K208" s="11"/>
      <c r="L208" s="11"/>
      <c r="N208" s="4" t="str">
        <f t="array" ref="N208">iferror(transpose(INDIRECT(SUBSTITUTE($C208," ","_"))),"")</f>
        <v/>
      </c>
      <c r="Z208" s="4" t="str">
        <f t="array" ref="Z208">iferror(transpose(INDIRECT(SUBSTITUTE($D208," ","_"))),"")</f>
        <v/>
      </c>
    </row>
    <row r="209" ht="15.75" customHeight="1">
      <c r="A209" s="11"/>
      <c r="B209" s="11"/>
      <c r="C209" s="4" t="str">
        <f t="array" ref="C209">iferror(INDEX(Fixtures_Results!$E$2:$F$12,MATCH($A209,Fixtures_Results!$A$2:$A$12,0),MATCH("BatTeam"&amp;$B209,Fixtures_Results!$E$1:$F$1,0)),"")</f>
        <v/>
      </c>
      <c r="D209" s="4" t="str">
        <f t="array" ref="D209">iferror(INDEX(Fixtures_Results!$E$2:$F$12,MATCH($A209,Fixtures_Results!$A$2:$A$12,0),MATCH("BatTeam"&amp;2*1/$B209,Fixtures_Results!$E$1:$F$1,0)),"")</f>
        <v/>
      </c>
      <c r="E209" s="6"/>
      <c r="F209" s="11"/>
      <c r="G209" s="11"/>
      <c r="H209" s="11"/>
      <c r="I209" s="11"/>
      <c r="J209" s="6"/>
      <c r="K209" s="11"/>
      <c r="L209" s="11"/>
      <c r="N209" s="4" t="str">
        <f t="array" ref="N209">iferror(transpose(INDIRECT(SUBSTITUTE($C209," ","_"))),"")</f>
        <v/>
      </c>
      <c r="Z209" s="4" t="str">
        <f t="array" ref="Z209">iferror(transpose(INDIRECT(SUBSTITUTE($D209," ","_"))),"")</f>
        <v/>
      </c>
    </row>
    <row r="210" ht="15.75" customHeight="1">
      <c r="A210" s="11"/>
      <c r="B210" s="11"/>
      <c r="C210" s="4" t="str">
        <f t="array" ref="C210">iferror(INDEX(Fixtures_Results!$E$2:$F$12,MATCH($A210,Fixtures_Results!$A$2:$A$12,0),MATCH("BatTeam"&amp;$B210,Fixtures_Results!$E$1:$F$1,0)),"")</f>
        <v/>
      </c>
      <c r="D210" s="4" t="str">
        <f t="array" ref="D210">iferror(INDEX(Fixtures_Results!$E$2:$F$12,MATCH($A210,Fixtures_Results!$A$2:$A$12,0),MATCH("BatTeam"&amp;2*1/$B210,Fixtures_Results!$E$1:$F$1,0)),"")</f>
        <v/>
      </c>
      <c r="E210" s="6"/>
      <c r="F210" s="11"/>
      <c r="G210" s="11"/>
      <c r="H210" s="11"/>
      <c r="I210" s="11"/>
      <c r="J210" s="6"/>
      <c r="K210" s="11"/>
      <c r="L210" s="11"/>
      <c r="N210" s="4" t="str">
        <f t="array" ref="N210">iferror(transpose(INDIRECT(SUBSTITUTE($C210," ","_"))),"")</f>
        <v/>
      </c>
      <c r="Z210" s="4" t="str">
        <f t="array" ref="Z210">iferror(transpose(INDIRECT(SUBSTITUTE($D210," ","_"))),"")</f>
        <v/>
      </c>
    </row>
    <row r="211" ht="15.75" customHeight="1">
      <c r="A211" s="11"/>
      <c r="B211" s="11"/>
      <c r="C211" s="4" t="str">
        <f t="array" ref="C211">iferror(INDEX(Fixtures_Results!$E$2:$F$12,MATCH($A211,Fixtures_Results!$A$2:$A$12,0),MATCH("BatTeam"&amp;$B211,Fixtures_Results!$E$1:$F$1,0)),"")</f>
        <v/>
      </c>
      <c r="D211" s="4" t="str">
        <f t="array" ref="D211">iferror(INDEX(Fixtures_Results!$E$2:$F$12,MATCH($A211,Fixtures_Results!$A$2:$A$12,0),MATCH("BatTeam"&amp;2*1/$B211,Fixtures_Results!$E$1:$F$1,0)),"")</f>
        <v/>
      </c>
      <c r="E211" s="6"/>
      <c r="F211" s="11"/>
      <c r="G211" s="11"/>
      <c r="H211" s="11"/>
      <c r="I211" s="11"/>
      <c r="J211" s="6"/>
      <c r="K211" s="11"/>
      <c r="L211" s="11"/>
      <c r="N211" s="4" t="str">
        <f t="array" ref="N211">iferror(transpose(INDIRECT(SUBSTITUTE($C211," ","_"))),"")</f>
        <v/>
      </c>
      <c r="Z211" s="4" t="str">
        <f t="array" ref="Z211">iferror(transpose(INDIRECT(SUBSTITUTE($D211," ","_"))),"")</f>
        <v/>
      </c>
    </row>
    <row r="212" ht="15.75" customHeight="1">
      <c r="A212" s="11"/>
      <c r="B212" s="11"/>
      <c r="C212" s="4" t="str">
        <f t="array" ref="C212">iferror(INDEX(Fixtures_Results!$E$2:$F$12,MATCH($A212,Fixtures_Results!$A$2:$A$12,0),MATCH("BatTeam"&amp;$B212,Fixtures_Results!$E$1:$F$1,0)),"")</f>
        <v/>
      </c>
      <c r="D212" s="4" t="str">
        <f t="array" ref="D212">iferror(INDEX(Fixtures_Results!$E$2:$F$12,MATCH($A212,Fixtures_Results!$A$2:$A$12,0),MATCH("BatTeam"&amp;2*1/$B212,Fixtures_Results!$E$1:$F$1,0)),"")</f>
        <v/>
      </c>
      <c r="E212" s="6"/>
      <c r="F212" s="11"/>
      <c r="G212" s="11"/>
      <c r="H212" s="11"/>
      <c r="I212" s="11"/>
      <c r="J212" s="6"/>
      <c r="K212" s="11"/>
      <c r="L212" s="11"/>
      <c r="N212" s="4" t="str">
        <f t="array" ref="N212">iferror(transpose(INDIRECT(SUBSTITUTE($C212," ","_"))),"")</f>
        <v/>
      </c>
      <c r="Z212" s="4" t="str">
        <f t="array" ref="Z212">iferror(transpose(INDIRECT(SUBSTITUTE($D212," ","_"))),"")</f>
        <v/>
      </c>
    </row>
    <row r="213" ht="15.75" customHeight="1">
      <c r="A213" s="11"/>
      <c r="B213" s="11"/>
      <c r="C213" s="4" t="str">
        <f t="array" ref="C213">iferror(INDEX(Fixtures_Results!$E$2:$F$12,MATCH($A213,Fixtures_Results!$A$2:$A$12,0),MATCH("BatTeam"&amp;$B213,Fixtures_Results!$E$1:$F$1,0)),"")</f>
        <v/>
      </c>
      <c r="D213" s="4" t="str">
        <f t="array" ref="D213">iferror(INDEX(Fixtures_Results!$E$2:$F$12,MATCH($A213,Fixtures_Results!$A$2:$A$12,0),MATCH("BatTeam"&amp;2*1/$B213,Fixtures_Results!$E$1:$F$1,0)),"")</f>
        <v/>
      </c>
      <c r="E213" s="6"/>
      <c r="F213" s="11"/>
      <c r="G213" s="11"/>
      <c r="H213" s="11"/>
      <c r="I213" s="11"/>
      <c r="J213" s="6"/>
      <c r="K213" s="11"/>
      <c r="L213" s="11"/>
      <c r="N213" s="4" t="str">
        <f t="array" ref="N213">iferror(transpose(INDIRECT(SUBSTITUTE($C213," ","_"))),"")</f>
        <v/>
      </c>
      <c r="Z213" s="4" t="str">
        <f t="array" ref="Z213">iferror(transpose(INDIRECT(SUBSTITUTE($D213," ","_"))),"")</f>
        <v/>
      </c>
    </row>
    <row r="214" ht="15.75" customHeight="1">
      <c r="A214" s="11"/>
      <c r="B214" s="11"/>
      <c r="C214" s="4" t="str">
        <f t="array" ref="C214">iferror(INDEX(Fixtures_Results!$E$2:$F$12,MATCH($A214,Fixtures_Results!$A$2:$A$12,0),MATCH("BatTeam"&amp;$B214,Fixtures_Results!$E$1:$F$1,0)),"")</f>
        <v/>
      </c>
      <c r="D214" s="4" t="str">
        <f t="array" ref="D214">iferror(INDEX(Fixtures_Results!$E$2:$F$12,MATCH($A214,Fixtures_Results!$A$2:$A$12,0),MATCH("BatTeam"&amp;2*1/$B214,Fixtures_Results!$E$1:$F$1,0)),"")</f>
        <v/>
      </c>
      <c r="E214" s="6"/>
      <c r="F214" s="11"/>
      <c r="G214" s="11"/>
      <c r="H214" s="11"/>
      <c r="I214" s="11"/>
      <c r="J214" s="6"/>
      <c r="K214" s="11"/>
      <c r="L214" s="11"/>
      <c r="N214" s="4" t="str">
        <f t="array" ref="N214">iferror(transpose(INDIRECT(SUBSTITUTE($C214," ","_"))),"")</f>
        <v/>
      </c>
      <c r="Z214" s="4" t="str">
        <f t="array" ref="Z214">iferror(transpose(INDIRECT(SUBSTITUTE($D214," ","_"))),"")</f>
        <v/>
      </c>
    </row>
    <row r="215" ht="15.75" customHeight="1">
      <c r="A215" s="11"/>
      <c r="B215" s="11"/>
      <c r="C215" s="4" t="str">
        <f t="array" ref="C215">iferror(INDEX(Fixtures_Results!$E$2:$F$12,MATCH($A215,Fixtures_Results!$A$2:$A$12,0),MATCH("BatTeam"&amp;$B215,Fixtures_Results!$E$1:$F$1,0)),"")</f>
        <v/>
      </c>
      <c r="D215" s="4" t="str">
        <f t="array" ref="D215">iferror(INDEX(Fixtures_Results!$E$2:$F$12,MATCH($A215,Fixtures_Results!$A$2:$A$12,0),MATCH("BatTeam"&amp;2*1/$B215,Fixtures_Results!$E$1:$F$1,0)),"")</f>
        <v/>
      </c>
      <c r="E215" s="6"/>
      <c r="F215" s="11"/>
      <c r="G215" s="11"/>
      <c r="H215" s="11"/>
      <c r="I215" s="11"/>
      <c r="J215" s="6"/>
      <c r="K215" s="11"/>
      <c r="L215" s="11"/>
      <c r="N215" s="4" t="str">
        <f t="array" ref="N215">iferror(transpose(INDIRECT(SUBSTITUTE($C215," ","_"))),"")</f>
        <v/>
      </c>
      <c r="Z215" s="4" t="str">
        <f t="array" ref="Z215">iferror(transpose(INDIRECT(SUBSTITUTE($D215," ","_"))),"")</f>
        <v/>
      </c>
    </row>
    <row r="216" ht="15.75" customHeight="1">
      <c r="A216" s="11"/>
      <c r="B216" s="11"/>
      <c r="C216" s="4" t="str">
        <f t="array" ref="C216">iferror(INDEX(Fixtures_Results!$E$2:$F$12,MATCH($A216,Fixtures_Results!$A$2:$A$12,0),MATCH("BatTeam"&amp;$B216,Fixtures_Results!$E$1:$F$1,0)),"")</f>
        <v/>
      </c>
      <c r="D216" s="4" t="str">
        <f t="array" ref="D216">iferror(INDEX(Fixtures_Results!$E$2:$F$12,MATCH($A216,Fixtures_Results!$A$2:$A$12,0),MATCH("BatTeam"&amp;2*1/$B216,Fixtures_Results!$E$1:$F$1,0)),"")</f>
        <v/>
      </c>
      <c r="E216" s="6"/>
      <c r="F216" s="11"/>
      <c r="G216" s="11"/>
      <c r="H216" s="11"/>
      <c r="I216" s="11"/>
      <c r="J216" s="6"/>
      <c r="K216" s="11"/>
      <c r="L216" s="11"/>
      <c r="N216" s="4" t="str">
        <f t="array" ref="N216">iferror(transpose(INDIRECT(SUBSTITUTE($C216," ","_"))),"")</f>
        <v/>
      </c>
      <c r="Z216" s="4" t="str">
        <f t="array" ref="Z216">iferror(transpose(INDIRECT(SUBSTITUTE($D216," ","_"))),"")</f>
        <v/>
      </c>
    </row>
    <row r="217" ht="15.75" customHeight="1">
      <c r="A217" s="11"/>
      <c r="B217" s="11"/>
      <c r="C217" s="4" t="str">
        <f t="array" ref="C217">iferror(INDEX(Fixtures_Results!$E$2:$F$12,MATCH($A217,Fixtures_Results!$A$2:$A$12,0),MATCH("BatTeam"&amp;$B217,Fixtures_Results!$E$1:$F$1,0)),"")</f>
        <v/>
      </c>
      <c r="D217" s="4" t="str">
        <f t="array" ref="D217">iferror(INDEX(Fixtures_Results!$E$2:$F$12,MATCH($A217,Fixtures_Results!$A$2:$A$12,0),MATCH("BatTeam"&amp;2*1/$B217,Fixtures_Results!$E$1:$F$1,0)),"")</f>
        <v/>
      </c>
      <c r="E217" s="6"/>
      <c r="F217" s="11"/>
      <c r="G217" s="11"/>
      <c r="H217" s="11"/>
      <c r="I217" s="11"/>
      <c r="J217" s="6"/>
      <c r="K217" s="11"/>
      <c r="L217" s="11"/>
      <c r="N217" s="4" t="str">
        <f t="array" ref="N217">iferror(transpose(INDIRECT(SUBSTITUTE($C217," ","_"))),"")</f>
        <v/>
      </c>
      <c r="Z217" s="4" t="str">
        <f t="array" ref="Z217">iferror(transpose(INDIRECT(SUBSTITUTE($D217," ","_"))),"")</f>
        <v/>
      </c>
    </row>
    <row r="218" ht="15.75" customHeight="1">
      <c r="A218" s="11"/>
      <c r="B218" s="11"/>
      <c r="C218" s="4" t="str">
        <f t="array" ref="C218">iferror(INDEX(Fixtures_Results!$E$2:$F$12,MATCH($A218,Fixtures_Results!$A$2:$A$12,0),MATCH("BatTeam"&amp;$B218,Fixtures_Results!$E$1:$F$1,0)),"")</f>
        <v/>
      </c>
      <c r="D218" s="4" t="str">
        <f t="array" ref="D218">iferror(INDEX(Fixtures_Results!$E$2:$F$12,MATCH($A218,Fixtures_Results!$A$2:$A$12,0),MATCH("BatTeam"&amp;2*1/$B218,Fixtures_Results!$E$1:$F$1,0)),"")</f>
        <v/>
      </c>
      <c r="E218" s="6"/>
      <c r="F218" s="11"/>
      <c r="G218" s="11"/>
      <c r="H218" s="11"/>
      <c r="I218" s="11"/>
      <c r="J218" s="6"/>
      <c r="K218" s="11"/>
      <c r="L218" s="11"/>
      <c r="N218" s="4" t="str">
        <f t="array" ref="N218">iferror(transpose(INDIRECT(SUBSTITUTE($C218," ","_"))),"")</f>
        <v/>
      </c>
      <c r="Z218" s="4" t="str">
        <f t="array" ref="Z218">iferror(transpose(INDIRECT(SUBSTITUTE($D218," ","_"))),"")</f>
        <v/>
      </c>
    </row>
    <row r="219" ht="15.75" customHeight="1">
      <c r="A219" s="11"/>
      <c r="B219" s="11"/>
      <c r="C219" s="4" t="str">
        <f t="array" ref="C219">iferror(INDEX(Fixtures_Results!$E$2:$F$12,MATCH($A219,Fixtures_Results!$A$2:$A$12,0),MATCH("BatTeam"&amp;$B219,Fixtures_Results!$E$1:$F$1,0)),"")</f>
        <v/>
      </c>
      <c r="D219" s="4" t="str">
        <f t="array" ref="D219">iferror(INDEX(Fixtures_Results!$E$2:$F$12,MATCH($A219,Fixtures_Results!$A$2:$A$12,0),MATCH("BatTeam"&amp;2*1/$B219,Fixtures_Results!$E$1:$F$1,0)),"")</f>
        <v/>
      </c>
      <c r="E219" s="6"/>
      <c r="F219" s="11"/>
      <c r="G219" s="11"/>
      <c r="H219" s="11"/>
      <c r="I219" s="11"/>
      <c r="J219" s="6"/>
      <c r="K219" s="11"/>
      <c r="L219" s="11"/>
      <c r="N219" s="4" t="str">
        <f t="array" ref="N219">iferror(transpose(INDIRECT(SUBSTITUTE($C219," ","_"))),"")</f>
        <v/>
      </c>
      <c r="Z219" s="4" t="str">
        <f t="array" ref="Z219">iferror(transpose(INDIRECT(SUBSTITUTE($D219," ","_"))),"")</f>
        <v/>
      </c>
    </row>
    <row r="220" ht="15.75" customHeight="1">
      <c r="A220" s="11"/>
      <c r="B220" s="11"/>
      <c r="C220" s="4" t="str">
        <f t="array" ref="C220">iferror(INDEX(Fixtures_Results!$E$2:$F$12,MATCH($A220,Fixtures_Results!$A$2:$A$12,0),MATCH("BatTeam"&amp;$B220,Fixtures_Results!$E$1:$F$1,0)),"")</f>
        <v/>
      </c>
      <c r="D220" s="4" t="str">
        <f t="array" ref="D220">iferror(INDEX(Fixtures_Results!$E$2:$F$12,MATCH($A220,Fixtures_Results!$A$2:$A$12,0),MATCH("BatTeam"&amp;2*1/$B220,Fixtures_Results!$E$1:$F$1,0)),"")</f>
        <v/>
      </c>
      <c r="E220" s="6"/>
      <c r="F220" s="11"/>
      <c r="G220" s="11"/>
      <c r="H220" s="11"/>
      <c r="I220" s="11"/>
      <c r="J220" s="6"/>
      <c r="K220" s="11"/>
      <c r="L220" s="11"/>
      <c r="N220" s="4" t="str">
        <f t="array" ref="N220">iferror(transpose(INDIRECT(SUBSTITUTE($C220," ","_"))),"")</f>
        <v/>
      </c>
      <c r="Z220" s="4" t="str">
        <f t="array" ref="Z220">iferror(transpose(INDIRECT(SUBSTITUTE($D220," ","_"))),"")</f>
        <v/>
      </c>
    </row>
    <row r="221" ht="15.75" customHeight="1">
      <c r="A221" s="11"/>
      <c r="B221" s="11"/>
      <c r="C221" s="4" t="str">
        <f t="array" ref="C221">iferror(INDEX(Fixtures_Results!$E$2:$F$12,MATCH($A221,Fixtures_Results!$A$2:$A$12,0),MATCH("BatTeam"&amp;$B221,Fixtures_Results!$E$1:$F$1,0)),"")</f>
        <v/>
      </c>
      <c r="D221" s="4" t="str">
        <f t="array" ref="D221">iferror(INDEX(Fixtures_Results!$E$2:$F$12,MATCH($A221,Fixtures_Results!$A$2:$A$12,0),MATCH("BatTeam"&amp;2*1/$B221,Fixtures_Results!$E$1:$F$1,0)),"")</f>
        <v/>
      </c>
      <c r="E221" s="6"/>
      <c r="F221" s="11"/>
      <c r="G221" s="11"/>
      <c r="H221" s="11"/>
      <c r="I221" s="11"/>
      <c r="J221" s="6"/>
      <c r="K221" s="11"/>
      <c r="L221" s="11"/>
      <c r="N221" s="4" t="str">
        <f t="array" ref="N221">iferror(transpose(INDIRECT(SUBSTITUTE($C221," ","_"))),"")</f>
        <v/>
      </c>
      <c r="Z221" s="4" t="str">
        <f t="array" ref="Z221">iferror(transpose(INDIRECT(SUBSTITUTE($D221," ","_"))),"")</f>
        <v/>
      </c>
    </row>
    <row r="222" ht="15.75" customHeight="1">
      <c r="A222" s="11"/>
      <c r="B222" s="11"/>
      <c r="C222" s="4" t="str">
        <f t="array" ref="C222">iferror(INDEX(Fixtures_Results!$E$2:$F$12,MATCH($A222,Fixtures_Results!$A$2:$A$12,0),MATCH("BatTeam"&amp;$B222,Fixtures_Results!$E$1:$F$1,0)),"")</f>
        <v/>
      </c>
      <c r="D222" s="4" t="str">
        <f t="array" ref="D222">iferror(INDEX(Fixtures_Results!$E$2:$F$12,MATCH($A222,Fixtures_Results!$A$2:$A$12,0),MATCH("BatTeam"&amp;2*1/$B222,Fixtures_Results!$E$1:$F$1,0)),"")</f>
        <v/>
      </c>
      <c r="E222" s="6"/>
      <c r="F222" s="11"/>
      <c r="G222" s="11"/>
      <c r="H222" s="11"/>
      <c r="I222" s="11"/>
      <c r="J222" s="6"/>
      <c r="K222" s="11"/>
      <c r="L222" s="11"/>
      <c r="N222" s="4" t="str">
        <f t="array" ref="N222">iferror(transpose(INDIRECT(SUBSTITUTE($C222," ","_"))),"")</f>
        <v/>
      </c>
      <c r="Z222" s="4" t="str">
        <f t="array" ref="Z222">iferror(transpose(INDIRECT(SUBSTITUTE($D222," ","_"))),"")</f>
        <v/>
      </c>
    </row>
    <row r="223" ht="15.75" customHeight="1">
      <c r="A223" s="11"/>
      <c r="B223" s="11"/>
      <c r="C223" s="4" t="str">
        <f t="array" ref="C223">iferror(INDEX(Fixtures_Results!$E$2:$F$12,MATCH($A223,Fixtures_Results!$A$2:$A$12,0),MATCH("BatTeam"&amp;$B223,Fixtures_Results!$E$1:$F$1,0)),"")</f>
        <v/>
      </c>
      <c r="D223" s="4" t="str">
        <f t="array" ref="D223">iferror(INDEX(Fixtures_Results!$E$2:$F$12,MATCH($A223,Fixtures_Results!$A$2:$A$12,0),MATCH("BatTeam"&amp;2*1/$B223,Fixtures_Results!$E$1:$F$1,0)),"")</f>
        <v/>
      </c>
      <c r="E223" s="6"/>
      <c r="F223" s="11"/>
      <c r="G223" s="11"/>
      <c r="H223" s="11"/>
      <c r="I223" s="11"/>
      <c r="J223" s="6"/>
      <c r="K223" s="11"/>
      <c r="L223" s="11"/>
      <c r="N223" s="4" t="str">
        <f t="array" ref="N223">iferror(transpose(INDIRECT(SUBSTITUTE($C223," ","_"))),"")</f>
        <v/>
      </c>
      <c r="Z223" s="4" t="str">
        <f t="array" ref="Z223">iferror(transpose(INDIRECT(SUBSTITUTE($D223," ","_"))),"")</f>
        <v/>
      </c>
    </row>
    <row r="224" ht="15.75" customHeight="1">
      <c r="A224" s="11"/>
      <c r="B224" s="11"/>
      <c r="C224" s="4" t="str">
        <f t="array" ref="C224">iferror(INDEX(Fixtures_Results!$E$2:$F$12,MATCH($A224,Fixtures_Results!$A$2:$A$12,0),MATCH("BatTeam"&amp;$B224,Fixtures_Results!$E$1:$F$1,0)),"")</f>
        <v/>
      </c>
      <c r="D224" s="4" t="str">
        <f t="array" ref="D224">iferror(INDEX(Fixtures_Results!$E$2:$F$12,MATCH($A224,Fixtures_Results!$A$2:$A$12,0),MATCH("BatTeam"&amp;2*1/$B224,Fixtures_Results!$E$1:$F$1,0)),"")</f>
        <v/>
      </c>
      <c r="E224" s="6"/>
      <c r="F224" s="11"/>
      <c r="G224" s="11"/>
      <c r="H224" s="11"/>
      <c r="I224" s="11"/>
      <c r="J224" s="6"/>
      <c r="K224" s="11"/>
      <c r="L224" s="11"/>
      <c r="N224" s="4" t="str">
        <f t="array" ref="N224">iferror(transpose(INDIRECT(SUBSTITUTE($C224," ","_"))),"")</f>
        <v/>
      </c>
      <c r="Z224" s="4" t="str">
        <f t="array" ref="Z224">iferror(transpose(INDIRECT(SUBSTITUTE($D224," ","_"))),"")</f>
        <v/>
      </c>
    </row>
    <row r="225" ht="15.75" customHeight="1">
      <c r="A225" s="11"/>
      <c r="B225" s="11"/>
      <c r="C225" s="4" t="str">
        <f t="array" ref="C225">iferror(INDEX(Fixtures_Results!$E$2:$F$12,MATCH($A225,Fixtures_Results!$A$2:$A$12,0),MATCH("BatTeam"&amp;$B225,Fixtures_Results!$E$1:$F$1,0)),"")</f>
        <v/>
      </c>
      <c r="D225" s="4" t="str">
        <f t="array" ref="D225">iferror(INDEX(Fixtures_Results!$E$2:$F$12,MATCH($A225,Fixtures_Results!$A$2:$A$12,0),MATCH("BatTeam"&amp;2*1/$B225,Fixtures_Results!$E$1:$F$1,0)),"")</f>
        <v/>
      </c>
      <c r="E225" s="6"/>
      <c r="F225" s="11"/>
      <c r="G225" s="11"/>
      <c r="H225" s="11"/>
      <c r="I225" s="11"/>
      <c r="J225" s="6"/>
      <c r="K225" s="11"/>
      <c r="L225" s="11"/>
      <c r="N225" s="4" t="str">
        <f t="array" ref="N225">iferror(transpose(INDIRECT(SUBSTITUTE($C225," ","_"))),"")</f>
        <v/>
      </c>
      <c r="Z225" s="4" t="str">
        <f t="array" ref="Z225">iferror(transpose(INDIRECT(SUBSTITUTE($D225," ","_"))),"")</f>
        <v/>
      </c>
    </row>
    <row r="226" ht="15.75" customHeight="1">
      <c r="A226" s="11"/>
      <c r="B226" s="11"/>
      <c r="C226" s="4" t="str">
        <f t="array" ref="C226">iferror(INDEX(Fixtures_Results!$E$2:$F$12,MATCH($A226,Fixtures_Results!$A$2:$A$12,0),MATCH("BatTeam"&amp;$B226,Fixtures_Results!$E$1:$F$1,0)),"")</f>
        <v/>
      </c>
      <c r="D226" s="4" t="str">
        <f t="array" ref="D226">iferror(INDEX(Fixtures_Results!$E$2:$F$12,MATCH($A226,Fixtures_Results!$A$2:$A$12,0),MATCH("BatTeam"&amp;2*1/$B226,Fixtures_Results!$E$1:$F$1,0)),"")</f>
        <v/>
      </c>
      <c r="E226" s="6"/>
      <c r="F226" s="11"/>
      <c r="G226" s="11"/>
      <c r="H226" s="11"/>
      <c r="I226" s="11"/>
      <c r="J226" s="6"/>
      <c r="K226" s="11"/>
      <c r="L226" s="11"/>
      <c r="N226" s="4" t="str">
        <f t="array" ref="N226">iferror(transpose(INDIRECT(SUBSTITUTE($C226," ","_"))),"")</f>
        <v/>
      </c>
      <c r="Z226" s="4" t="str">
        <f t="array" ref="Z226">iferror(transpose(INDIRECT(SUBSTITUTE($D226," ","_"))),"")</f>
        <v/>
      </c>
    </row>
    <row r="227" ht="15.75" customHeight="1">
      <c r="A227" s="11"/>
      <c r="B227" s="11"/>
      <c r="C227" s="4" t="str">
        <f t="array" ref="C227">iferror(INDEX(Fixtures_Results!$E$2:$F$12,MATCH($A227,Fixtures_Results!$A$2:$A$12,0),MATCH("BatTeam"&amp;$B227,Fixtures_Results!$E$1:$F$1,0)),"")</f>
        <v/>
      </c>
      <c r="D227" s="4" t="str">
        <f t="array" ref="D227">iferror(INDEX(Fixtures_Results!$E$2:$F$12,MATCH($A227,Fixtures_Results!$A$2:$A$12,0),MATCH("BatTeam"&amp;2*1/$B227,Fixtures_Results!$E$1:$F$1,0)),"")</f>
        <v/>
      </c>
      <c r="E227" s="6"/>
      <c r="F227" s="11"/>
      <c r="G227" s="11"/>
      <c r="H227" s="11"/>
      <c r="I227" s="11"/>
      <c r="J227" s="6"/>
      <c r="K227" s="11"/>
      <c r="L227" s="11"/>
      <c r="N227" s="4" t="str">
        <f t="array" ref="N227">iferror(transpose(INDIRECT(SUBSTITUTE($C227," ","_"))),"")</f>
        <v/>
      </c>
      <c r="Z227" s="4" t="str">
        <f t="array" ref="Z227">iferror(transpose(INDIRECT(SUBSTITUTE($D227," ","_"))),"")</f>
        <v/>
      </c>
    </row>
    <row r="228" ht="15.75" customHeight="1">
      <c r="A228" s="11"/>
      <c r="B228" s="11"/>
      <c r="C228" s="4" t="str">
        <f t="array" ref="C228">iferror(INDEX(Fixtures_Results!$E$2:$F$12,MATCH($A228,Fixtures_Results!$A$2:$A$12,0),MATCH("BatTeam"&amp;$B228,Fixtures_Results!$E$1:$F$1,0)),"")</f>
        <v/>
      </c>
      <c r="D228" s="4" t="str">
        <f t="array" ref="D228">iferror(INDEX(Fixtures_Results!$E$2:$F$12,MATCH($A228,Fixtures_Results!$A$2:$A$12,0),MATCH("BatTeam"&amp;2*1/$B228,Fixtures_Results!$E$1:$F$1,0)),"")</f>
        <v/>
      </c>
      <c r="E228" s="6"/>
      <c r="F228" s="11"/>
      <c r="G228" s="11"/>
      <c r="H228" s="11"/>
      <c r="I228" s="11"/>
      <c r="J228" s="6"/>
      <c r="K228" s="11"/>
      <c r="L228" s="11"/>
      <c r="N228" s="4" t="str">
        <f t="array" ref="N228">iferror(transpose(INDIRECT(SUBSTITUTE($C228," ","_"))),"")</f>
        <v/>
      </c>
      <c r="Z228" s="4" t="str">
        <f t="array" ref="Z228">iferror(transpose(INDIRECT(SUBSTITUTE($D228," ","_"))),"")</f>
        <v/>
      </c>
    </row>
    <row r="229" ht="15.75" customHeight="1">
      <c r="A229" s="11"/>
      <c r="B229" s="11"/>
      <c r="C229" s="4" t="str">
        <f t="array" ref="C229">iferror(INDEX(Fixtures_Results!$E$2:$F$12,MATCH($A229,Fixtures_Results!$A$2:$A$12,0),MATCH("BatTeam"&amp;$B229,Fixtures_Results!$E$1:$F$1,0)),"")</f>
        <v/>
      </c>
      <c r="D229" s="4" t="str">
        <f t="array" ref="D229">iferror(INDEX(Fixtures_Results!$E$2:$F$12,MATCH($A229,Fixtures_Results!$A$2:$A$12,0),MATCH("BatTeam"&amp;2*1/$B229,Fixtures_Results!$E$1:$F$1,0)),"")</f>
        <v/>
      </c>
      <c r="E229" s="6"/>
      <c r="F229" s="11"/>
      <c r="G229" s="11"/>
      <c r="H229" s="11"/>
      <c r="I229" s="11"/>
      <c r="J229" s="6"/>
      <c r="K229" s="11"/>
      <c r="L229" s="11"/>
      <c r="N229" s="4" t="str">
        <f t="array" ref="N229">iferror(transpose(INDIRECT(SUBSTITUTE($C229," ","_"))),"")</f>
        <v/>
      </c>
      <c r="Z229" s="4" t="str">
        <f t="array" ref="Z229">iferror(transpose(INDIRECT(SUBSTITUTE($D229," ","_"))),"")</f>
        <v/>
      </c>
    </row>
    <row r="230" ht="15.75" customHeight="1">
      <c r="A230" s="11"/>
      <c r="B230" s="11"/>
      <c r="C230" s="4" t="str">
        <f t="array" ref="C230">iferror(INDEX(Fixtures_Results!$E$2:$F$12,MATCH($A230,Fixtures_Results!$A$2:$A$12,0),MATCH("BatTeam"&amp;$B230,Fixtures_Results!$E$1:$F$1,0)),"")</f>
        <v/>
      </c>
      <c r="D230" s="4" t="str">
        <f t="array" ref="D230">iferror(INDEX(Fixtures_Results!$E$2:$F$12,MATCH($A230,Fixtures_Results!$A$2:$A$12,0),MATCH("BatTeam"&amp;2*1/$B230,Fixtures_Results!$E$1:$F$1,0)),"")</f>
        <v/>
      </c>
      <c r="E230" s="6"/>
      <c r="F230" s="11"/>
      <c r="G230" s="11"/>
      <c r="H230" s="11"/>
      <c r="I230" s="11"/>
      <c r="J230" s="6"/>
      <c r="K230" s="11"/>
      <c r="L230" s="11"/>
      <c r="N230" s="4" t="str">
        <f t="array" ref="N230">iferror(transpose(INDIRECT(SUBSTITUTE($C230," ","_"))),"")</f>
        <v/>
      </c>
      <c r="Z230" s="4" t="str">
        <f t="array" ref="Z230">iferror(transpose(INDIRECT(SUBSTITUTE($D230," ","_"))),"")</f>
        <v/>
      </c>
    </row>
    <row r="231" ht="15.75" customHeight="1">
      <c r="A231" s="11"/>
      <c r="B231" s="11"/>
      <c r="C231" s="4" t="str">
        <f t="array" ref="C231">iferror(INDEX(Fixtures_Results!$E$2:$F$12,MATCH($A231,Fixtures_Results!$A$2:$A$12,0),MATCH("BatTeam"&amp;$B231,Fixtures_Results!$E$1:$F$1,0)),"")</f>
        <v/>
      </c>
      <c r="D231" s="4" t="str">
        <f t="array" ref="D231">iferror(INDEX(Fixtures_Results!$E$2:$F$12,MATCH($A231,Fixtures_Results!$A$2:$A$12,0),MATCH("BatTeam"&amp;2*1/$B231,Fixtures_Results!$E$1:$F$1,0)),"")</f>
        <v/>
      </c>
      <c r="E231" s="6"/>
      <c r="F231" s="11"/>
      <c r="G231" s="11"/>
      <c r="H231" s="11"/>
      <c r="I231" s="11"/>
      <c r="J231" s="6"/>
      <c r="K231" s="11"/>
      <c r="L231" s="11"/>
      <c r="N231" s="4" t="str">
        <f t="array" ref="N231">iferror(transpose(INDIRECT(SUBSTITUTE($C231," ","_"))),"")</f>
        <v/>
      </c>
      <c r="Z231" s="4" t="str">
        <f t="array" ref="Z231">iferror(transpose(INDIRECT(SUBSTITUTE($D231," ","_"))),"")</f>
        <v/>
      </c>
    </row>
    <row r="232" ht="15.75" customHeight="1">
      <c r="A232" s="11"/>
      <c r="B232" s="11"/>
      <c r="C232" s="4" t="str">
        <f t="array" ref="C232">iferror(INDEX(Fixtures_Results!$E$2:$F$12,MATCH($A232,Fixtures_Results!$A$2:$A$12,0),MATCH("BatTeam"&amp;$B232,Fixtures_Results!$E$1:$F$1,0)),"")</f>
        <v/>
      </c>
      <c r="D232" s="4" t="str">
        <f t="array" ref="D232">iferror(INDEX(Fixtures_Results!$E$2:$F$12,MATCH($A232,Fixtures_Results!$A$2:$A$12,0),MATCH("BatTeam"&amp;2*1/$B232,Fixtures_Results!$E$1:$F$1,0)),"")</f>
        <v/>
      </c>
      <c r="E232" s="6"/>
      <c r="F232" s="11"/>
      <c r="G232" s="11"/>
      <c r="H232" s="11"/>
      <c r="I232" s="11"/>
      <c r="J232" s="6"/>
      <c r="K232" s="11"/>
      <c r="L232" s="11"/>
      <c r="N232" s="4" t="str">
        <f t="array" ref="N232">iferror(transpose(INDIRECT(SUBSTITUTE($C232," ","_"))),"")</f>
        <v/>
      </c>
      <c r="Z232" s="4" t="str">
        <f t="array" ref="Z232">iferror(transpose(INDIRECT(SUBSTITUTE($D232," ","_"))),"")</f>
        <v/>
      </c>
    </row>
    <row r="233" ht="15.75" customHeight="1">
      <c r="A233" s="11"/>
      <c r="B233" s="11"/>
      <c r="C233" s="4" t="str">
        <f t="array" ref="C233">iferror(INDEX(Fixtures_Results!$E$2:$F$12,MATCH($A233,Fixtures_Results!$A$2:$A$12,0),MATCH("BatTeam"&amp;$B233,Fixtures_Results!$E$1:$F$1,0)),"")</f>
        <v/>
      </c>
      <c r="D233" s="4" t="str">
        <f t="array" ref="D233">iferror(INDEX(Fixtures_Results!$E$2:$F$12,MATCH($A233,Fixtures_Results!$A$2:$A$12,0),MATCH("BatTeam"&amp;2*1/$B233,Fixtures_Results!$E$1:$F$1,0)),"")</f>
        <v/>
      </c>
      <c r="E233" s="6"/>
      <c r="F233" s="11"/>
      <c r="G233" s="11"/>
      <c r="H233" s="11"/>
      <c r="I233" s="11"/>
      <c r="J233" s="6"/>
      <c r="K233" s="11"/>
      <c r="L233" s="11"/>
      <c r="N233" s="4" t="str">
        <f t="array" ref="N233">iferror(transpose(INDIRECT(SUBSTITUTE($C233," ","_"))),"")</f>
        <v/>
      </c>
      <c r="Z233" s="4" t="str">
        <f t="array" ref="Z233">iferror(transpose(INDIRECT(SUBSTITUTE($D233," ","_"))),"")</f>
        <v/>
      </c>
    </row>
    <row r="234" ht="15.75" customHeight="1">
      <c r="A234" s="11"/>
      <c r="B234" s="11"/>
      <c r="C234" s="4" t="str">
        <f t="array" ref="C234">iferror(INDEX(Fixtures_Results!$E$2:$F$12,MATCH($A234,Fixtures_Results!$A$2:$A$12,0),MATCH("BatTeam"&amp;$B234,Fixtures_Results!$E$1:$F$1,0)),"")</f>
        <v/>
      </c>
      <c r="D234" s="4" t="str">
        <f t="array" ref="D234">iferror(INDEX(Fixtures_Results!$E$2:$F$12,MATCH($A234,Fixtures_Results!$A$2:$A$12,0),MATCH("BatTeam"&amp;2*1/$B234,Fixtures_Results!$E$1:$F$1,0)),"")</f>
        <v/>
      </c>
      <c r="E234" s="6"/>
      <c r="F234" s="11"/>
      <c r="G234" s="11"/>
      <c r="H234" s="11"/>
      <c r="I234" s="11"/>
      <c r="J234" s="6"/>
      <c r="K234" s="11"/>
      <c r="L234" s="11"/>
      <c r="N234" s="4" t="str">
        <f t="array" ref="N234">iferror(transpose(INDIRECT(SUBSTITUTE($C234," ","_"))),"")</f>
        <v/>
      </c>
      <c r="Z234" s="4" t="str">
        <f t="array" ref="Z234">iferror(transpose(INDIRECT(SUBSTITUTE($D234," ","_"))),"")</f>
        <v/>
      </c>
    </row>
    <row r="235" ht="15.75" customHeight="1">
      <c r="A235" s="11"/>
      <c r="B235" s="11"/>
      <c r="C235" s="4" t="str">
        <f t="array" ref="C235">iferror(INDEX(Fixtures_Results!$E$2:$F$12,MATCH($A235,Fixtures_Results!$A$2:$A$12,0),MATCH("BatTeam"&amp;$B235,Fixtures_Results!$E$1:$F$1,0)),"")</f>
        <v/>
      </c>
      <c r="D235" s="4" t="str">
        <f t="array" ref="D235">iferror(INDEX(Fixtures_Results!$E$2:$F$12,MATCH($A235,Fixtures_Results!$A$2:$A$12,0),MATCH("BatTeam"&amp;2*1/$B235,Fixtures_Results!$E$1:$F$1,0)),"")</f>
        <v/>
      </c>
      <c r="E235" s="6"/>
      <c r="F235" s="11"/>
      <c r="G235" s="11"/>
      <c r="H235" s="11"/>
      <c r="I235" s="11"/>
      <c r="J235" s="6"/>
      <c r="K235" s="11"/>
      <c r="L235" s="11"/>
      <c r="N235" s="4" t="str">
        <f t="array" ref="N235">iferror(transpose(INDIRECT(SUBSTITUTE($C235," ","_"))),"")</f>
        <v/>
      </c>
      <c r="Z235" s="4" t="str">
        <f t="array" ref="Z235">iferror(transpose(INDIRECT(SUBSTITUTE($D235," ","_"))),"")</f>
        <v/>
      </c>
    </row>
    <row r="236" ht="15.75" customHeight="1">
      <c r="A236" s="11"/>
      <c r="B236" s="11"/>
      <c r="C236" s="4" t="str">
        <f t="array" ref="C236">iferror(INDEX(Fixtures_Results!$E$2:$F$12,MATCH($A236,Fixtures_Results!$A$2:$A$12,0),MATCH("BatTeam"&amp;$B236,Fixtures_Results!$E$1:$F$1,0)),"")</f>
        <v/>
      </c>
      <c r="D236" s="4" t="str">
        <f t="array" ref="D236">iferror(INDEX(Fixtures_Results!$E$2:$F$12,MATCH($A236,Fixtures_Results!$A$2:$A$12,0),MATCH("BatTeam"&amp;2*1/$B236,Fixtures_Results!$E$1:$F$1,0)),"")</f>
        <v/>
      </c>
      <c r="E236" s="6"/>
      <c r="F236" s="11"/>
      <c r="G236" s="11"/>
      <c r="H236" s="11"/>
      <c r="I236" s="11"/>
      <c r="J236" s="6"/>
      <c r="K236" s="11"/>
      <c r="L236" s="11"/>
      <c r="N236" s="4" t="str">
        <f t="array" ref="N236">iferror(transpose(INDIRECT(SUBSTITUTE($C236," ","_"))),"")</f>
        <v/>
      </c>
      <c r="Z236" s="4" t="str">
        <f t="array" ref="Z236">iferror(transpose(INDIRECT(SUBSTITUTE($D236," ","_"))),"")</f>
        <v/>
      </c>
    </row>
    <row r="237" ht="15.75" customHeight="1">
      <c r="A237" s="11"/>
      <c r="B237" s="11"/>
      <c r="C237" s="4" t="str">
        <f t="array" ref="C237">iferror(INDEX(Fixtures_Results!$E$2:$F$12,MATCH($A237,Fixtures_Results!$A$2:$A$12,0),MATCH("BatTeam"&amp;$B237,Fixtures_Results!$E$1:$F$1,0)),"")</f>
        <v/>
      </c>
      <c r="D237" s="4" t="str">
        <f t="array" ref="D237">iferror(INDEX(Fixtures_Results!$E$2:$F$12,MATCH($A237,Fixtures_Results!$A$2:$A$12,0),MATCH("BatTeam"&amp;2*1/$B237,Fixtures_Results!$E$1:$F$1,0)),"")</f>
        <v/>
      </c>
      <c r="E237" s="6"/>
      <c r="F237" s="11"/>
      <c r="G237" s="11"/>
      <c r="H237" s="11"/>
      <c r="I237" s="11"/>
      <c r="J237" s="6"/>
      <c r="K237" s="11"/>
      <c r="L237" s="11"/>
      <c r="N237" s="4" t="str">
        <f t="array" ref="N237">iferror(transpose(INDIRECT(SUBSTITUTE($C237," ","_"))),"")</f>
        <v/>
      </c>
      <c r="Z237" s="4" t="str">
        <f t="array" ref="Z237">iferror(transpose(INDIRECT(SUBSTITUTE($D237," ","_"))),"")</f>
        <v/>
      </c>
    </row>
    <row r="238" ht="15.75" customHeight="1">
      <c r="A238" s="11"/>
      <c r="B238" s="11"/>
      <c r="C238" s="4" t="str">
        <f t="array" ref="C238">iferror(INDEX(Fixtures_Results!$E$2:$F$12,MATCH($A238,Fixtures_Results!$A$2:$A$12,0),MATCH("BatTeam"&amp;$B238,Fixtures_Results!$E$1:$F$1,0)),"")</f>
        <v/>
      </c>
      <c r="D238" s="4" t="str">
        <f t="array" ref="D238">iferror(INDEX(Fixtures_Results!$E$2:$F$12,MATCH($A238,Fixtures_Results!$A$2:$A$12,0),MATCH("BatTeam"&amp;2*1/$B238,Fixtures_Results!$E$1:$F$1,0)),"")</f>
        <v/>
      </c>
      <c r="E238" s="6"/>
      <c r="F238" s="11"/>
      <c r="G238" s="11"/>
      <c r="H238" s="11"/>
      <c r="I238" s="11"/>
      <c r="J238" s="6"/>
      <c r="K238" s="11"/>
      <c r="L238" s="11"/>
      <c r="N238" s="4" t="str">
        <f t="array" ref="N238">iferror(transpose(INDIRECT(SUBSTITUTE($C238," ","_"))),"")</f>
        <v/>
      </c>
      <c r="Z238" s="4" t="str">
        <f t="array" ref="Z238">iferror(transpose(INDIRECT(SUBSTITUTE($D238," ","_"))),"")</f>
        <v/>
      </c>
    </row>
    <row r="239" ht="15.75" customHeight="1">
      <c r="A239" s="11"/>
      <c r="B239" s="11"/>
      <c r="C239" s="4" t="str">
        <f t="array" ref="C239">iferror(INDEX(Fixtures_Results!$E$2:$F$12,MATCH($A239,Fixtures_Results!$A$2:$A$12,0),MATCH("BatTeam"&amp;$B239,Fixtures_Results!$E$1:$F$1,0)),"")</f>
        <v/>
      </c>
      <c r="D239" s="4" t="str">
        <f t="array" ref="D239">iferror(INDEX(Fixtures_Results!$E$2:$F$12,MATCH($A239,Fixtures_Results!$A$2:$A$12,0),MATCH("BatTeam"&amp;2*1/$B239,Fixtures_Results!$E$1:$F$1,0)),"")</f>
        <v/>
      </c>
      <c r="E239" s="6"/>
      <c r="F239" s="11"/>
      <c r="G239" s="11"/>
      <c r="H239" s="11"/>
      <c r="I239" s="11"/>
      <c r="J239" s="6"/>
      <c r="K239" s="11"/>
      <c r="L239" s="11"/>
      <c r="N239" s="4" t="str">
        <f t="array" ref="N239">iferror(transpose(INDIRECT(SUBSTITUTE($C239," ","_"))),"")</f>
        <v/>
      </c>
      <c r="Z239" s="4" t="str">
        <f t="array" ref="Z239">iferror(transpose(INDIRECT(SUBSTITUTE($D239," ","_"))),"")</f>
        <v/>
      </c>
    </row>
    <row r="240" ht="15.75" customHeight="1">
      <c r="A240" s="11"/>
      <c r="B240" s="11"/>
      <c r="C240" s="4" t="str">
        <f t="array" ref="C240">iferror(INDEX(Fixtures_Results!$E$2:$F$12,MATCH($A240,Fixtures_Results!$A$2:$A$12,0),MATCH("BatTeam"&amp;$B240,Fixtures_Results!$E$1:$F$1,0)),"")</f>
        <v/>
      </c>
      <c r="D240" s="4" t="str">
        <f t="array" ref="D240">iferror(INDEX(Fixtures_Results!$E$2:$F$12,MATCH($A240,Fixtures_Results!$A$2:$A$12,0),MATCH("BatTeam"&amp;2*1/$B240,Fixtures_Results!$E$1:$F$1,0)),"")</f>
        <v/>
      </c>
      <c r="E240" s="6"/>
      <c r="F240" s="11"/>
      <c r="G240" s="11"/>
      <c r="H240" s="11"/>
      <c r="I240" s="11"/>
      <c r="J240" s="6"/>
      <c r="K240" s="11"/>
      <c r="L240" s="11"/>
      <c r="N240" s="4" t="str">
        <f t="array" ref="N240">iferror(transpose(INDIRECT(SUBSTITUTE($C240," ","_"))),"")</f>
        <v/>
      </c>
      <c r="Z240" s="4" t="str">
        <f t="array" ref="Z240">iferror(transpose(INDIRECT(SUBSTITUTE($D240," ","_"))),"")</f>
        <v/>
      </c>
    </row>
    <row r="241" ht="15.75" customHeight="1">
      <c r="A241" s="11"/>
      <c r="B241" s="11"/>
      <c r="C241" s="4" t="str">
        <f t="array" ref="C241">iferror(INDEX(Fixtures_Results!$E$2:$F$12,MATCH($A241,Fixtures_Results!$A$2:$A$12,0),MATCH("BatTeam"&amp;$B241,Fixtures_Results!$E$1:$F$1,0)),"")</f>
        <v/>
      </c>
      <c r="D241" s="4" t="str">
        <f t="array" ref="D241">iferror(INDEX(Fixtures_Results!$E$2:$F$12,MATCH($A241,Fixtures_Results!$A$2:$A$12,0),MATCH("BatTeam"&amp;2*1/$B241,Fixtures_Results!$E$1:$F$1,0)),"")</f>
        <v/>
      </c>
      <c r="E241" s="6"/>
      <c r="F241" s="11"/>
      <c r="G241" s="11"/>
      <c r="H241" s="11"/>
      <c r="I241" s="11"/>
      <c r="J241" s="6"/>
      <c r="K241" s="11"/>
      <c r="L241" s="11"/>
      <c r="N241" s="4" t="str">
        <f t="array" ref="N241">iferror(transpose(INDIRECT(SUBSTITUTE($C241," ","_"))),"")</f>
        <v/>
      </c>
      <c r="Z241" s="4" t="str">
        <f t="array" ref="Z241">iferror(transpose(INDIRECT(SUBSTITUTE($D241," ","_"))),"")</f>
        <v/>
      </c>
    </row>
    <row r="242" ht="15.75" customHeight="1">
      <c r="A242" s="11"/>
      <c r="B242" s="11"/>
      <c r="C242" s="4" t="str">
        <f t="array" ref="C242">iferror(INDEX(Fixtures_Results!$E$2:$F$12,MATCH($A242,Fixtures_Results!$A$2:$A$12,0),MATCH("BatTeam"&amp;$B242,Fixtures_Results!$E$1:$F$1,0)),"")</f>
        <v/>
      </c>
      <c r="D242" s="4" t="str">
        <f t="array" ref="D242">iferror(INDEX(Fixtures_Results!$E$2:$F$12,MATCH($A242,Fixtures_Results!$A$2:$A$12,0),MATCH("BatTeam"&amp;2*1/$B242,Fixtures_Results!$E$1:$F$1,0)),"")</f>
        <v/>
      </c>
      <c r="E242" s="6"/>
      <c r="F242" s="11"/>
      <c r="G242" s="11"/>
      <c r="H242" s="11"/>
      <c r="I242" s="11"/>
      <c r="J242" s="6"/>
      <c r="K242" s="11"/>
      <c r="L242" s="11"/>
      <c r="N242" s="4" t="str">
        <f t="array" ref="N242">iferror(transpose(INDIRECT(SUBSTITUTE($C242," ","_"))),"")</f>
        <v/>
      </c>
      <c r="Z242" s="4" t="str">
        <f t="array" ref="Z242">iferror(transpose(INDIRECT(SUBSTITUTE($D242," ","_"))),"")</f>
        <v/>
      </c>
    </row>
    <row r="243" ht="15.75" customHeight="1">
      <c r="A243" s="11"/>
      <c r="B243" s="11"/>
      <c r="C243" s="4" t="str">
        <f t="array" ref="C243">iferror(INDEX(Fixtures_Results!$E$2:$F$12,MATCH($A243,Fixtures_Results!$A$2:$A$12,0),MATCH("BatTeam"&amp;$B243,Fixtures_Results!$E$1:$F$1,0)),"")</f>
        <v/>
      </c>
      <c r="D243" s="4" t="str">
        <f t="array" ref="D243">iferror(INDEX(Fixtures_Results!$E$2:$F$12,MATCH($A243,Fixtures_Results!$A$2:$A$12,0),MATCH("BatTeam"&amp;2*1/$B243,Fixtures_Results!$E$1:$F$1,0)),"")</f>
        <v/>
      </c>
      <c r="E243" s="6"/>
      <c r="F243" s="11"/>
      <c r="G243" s="11"/>
      <c r="H243" s="11"/>
      <c r="I243" s="11"/>
      <c r="J243" s="6"/>
      <c r="K243" s="11"/>
      <c r="L243" s="11"/>
      <c r="N243" s="4" t="str">
        <f t="array" ref="N243">iferror(transpose(INDIRECT(SUBSTITUTE($C243," ","_"))),"")</f>
        <v/>
      </c>
      <c r="Z243" s="4" t="str">
        <f t="array" ref="Z243">iferror(transpose(INDIRECT(SUBSTITUTE($D243," ","_"))),"")</f>
        <v/>
      </c>
    </row>
    <row r="244" ht="15.75" customHeight="1">
      <c r="A244" s="11"/>
      <c r="B244" s="11"/>
      <c r="C244" s="4" t="str">
        <f t="array" ref="C244">iferror(INDEX(Fixtures_Results!$E$2:$F$12,MATCH($A244,Fixtures_Results!$A$2:$A$12,0),MATCH("BatTeam"&amp;$B244,Fixtures_Results!$E$1:$F$1,0)),"")</f>
        <v/>
      </c>
      <c r="D244" s="4" t="str">
        <f t="array" ref="D244">iferror(INDEX(Fixtures_Results!$E$2:$F$12,MATCH($A244,Fixtures_Results!$A$2:$A$12,0),MATCH("BatTeam"&amp;2*1/$B244,Fixtures_Results!$E$1:$F$1,0)),"")</f>
        <v/>
      </c>
      <c r="E244" s="6"/>
      <c r="F244" s="11"/>
      <c r="G244" s="11"/>
      <c r="H244" s="11"/>
      <c r="I244" s="11"/>
      <c r="J244" s="6"/>
      <c r="K244" s="11"/>
      <c r="L244" s="11"/>
      <c r="N244" s="4" t="str">
        <f t="array" ref="N244">iferror(transpose(INDIRECT(SUBSTITUTE($C244," ","_"))),"")</f>
        <v/>
      </c>
      <c r="Z244" s="4" t="str">
        <f t="array" ref="Z244">iferror(transpose(INDIRECT(SUBSTITUTE($D244," ","_"))),"")</f>
        <v/>
      </c>
    </row>
    <row r="245" ht="15.75" customHeight="1">
      <c r="A245" s="11"/>
      <c r="B245" s="11"/>
      <c r="C245" s="4" t="str">
        <f t="array" ref="C245">iferror(INDEX(Fixtures_Results!$E$2:$F$12,MATCH($A245,Fixtures_Results!$A$2:$A$12,0),MATCH("BatTeam"&amp;$B245,Fixtures_Results!$E$1:$F$1,0)),"")</f>
        <v/>
      </c>
      <c r="D245" s="4" t="str">
        <f t="array" ref="D245">iferror(INDEX(Fixtures_Results!$E$2:$F$12,MATCH($A245,Fixtures_Results!$A$2:$A$12,0),MATCH("BatTeam"&amp;2*1/$B245,Fixtures_Results!$E$1:$F$1,0)),"")</f>
        <v/>
      </c>
      <c r="E245" s="6"/>
      <c r="F245" s="11"/>
      <c r="G245" s="11"/>
      <c r="H245" s="11"/>
      <c r="I245" s="11"/>
      <c r="J245" s="6"/>
      <c r="K245" s="11"/>
      <c r="L245" s="11"/>
      <c r="N245" s="4" t="str">
        <f t="array" ref="N245">iferror(transpose(INDIRECT(SUBSTITUTE($C245," ","_"))),"")</f>
        <v/>
      </c>
      <c r="Z245" s="4" t="str">
        <f t="array" ref="Z245">iferror(transpose(INDIRECT(SUBSTITUTE($D245," ","_"))),"")</f>
        <v/>
      </c>
    </row>
    <row r="246" ht="15.75" customHeight="1">
      <c r="A246" s="11"/>
      <c r="B246" s="11"/>
      <c r="C246" s="4" t="str">
        <f t="array" ref="C246">iferror(INDEX(Fixtures_Results!$E$2:$F$12,MATCH($A246,Fixtures_Results!$A$2:$A$12,0),MATCH("BatTeam"&amp;$B246,Fixtures_Results!$E$1:$F$1,0)),"")</f>
        <v/>
      </c>
      <c r="D246" s="4" t="str">
        <f t="array" ref="D246">iferror(INDEX(Fixtures_Results!$E$2:$F$12,MATCH($A246,Fixtures_Results!$A$2:$A$12,0),MATCH("BatTeam"&amp;2*1/$B246,Fixtures_Results!$E$1:$F$1,0)),"")</f>
        <v/>
      </c>
      <c r="E246" s="6"/>
      <c r="F246" s="11"/>
      <c r="G246" s="11"/>
      <c r="H246" s="11"/>
      <c r="I246" s="11"/>
      <c r="J246" s="6"/>
      <c r="K246" s="11"/>
      <c r="L246" s="11"/>
      <c r="N246" s="4" t="str">
        <f t="array" ref="N246">iferror(transpose(INDIRECT(SUBSTITUTE($C246," ","_"))),"")</f>
        <v/>
      </c>
      <c r="Z246" s="4" t="str">
        <f t="array" ref="Z246">iferror(transpose(INDIRECT(SUBSTITUTE($D246," ","_"))),"")</f>
        <v/>
      </c>
    </row>
    <row r="247" ht="15.75" customHeight="1">
      <c r="A247" s="11"/>
      <c r="B247" s="11"/>
      <c r="C247" s="4" t="str">
        <f t="array" ref="C247">iferror(INDEX(Fixtures_Results!$E$2:$F$12,MATCH($A247,Fixtures_Results!$A$2:$A$12,0),MATCH("BatTeam"&amp;$B247,Fixtures_Results!$E$1:$F$1,0)),"")</f>
        <v/>
      </c>
      <c r="D247" s="4" t="str">
        <f t="array" ref="D247">iferror(INDEX(Fixtures_Results!$E$2:$F$12,MATCH($A247,Fixtures_Results!$A$2:$A$12,0),MATCH("BatTeam"&amp;2*1/$B247,Fixtures_Results!$E$1:$F$1,0)),"")</f>
        <v/>
      </c>
      <c r="E247" s="6"/>
      <c r="F247" s="11"/>
      <c r="G247" s="11"/>
      <c r="H247" s="11"/>
      <c r="I247" s="11"/>
      <c r="J247" s="6"/>
      <c r="K247" s="11"/>
      <c r="L247" s="11"/>
      <c r="N247" s="4" t="str">
        <f t="array" ref="N247">iferror(transpose(INDIRECT(SUBSTITUTE($C247," ","_"))),"")</f>
        <v/>
      </c>
      <c r="Z247" s="4" t="str">
        <f t="array" ref="Z247">iferror(transpose(INDIRECT(SUBSTITUTE($D247," ","_"))),"")</f>
        <v/>
      </c>
    </row>
    <row r="248" ht="15.75" customHeight="1">
      <c r="A248" s="11"/>
      <c r="B248" s="11"/>
      <c r="C248" s="4" t="str">
        <f t="array" ref="C248">iferror(INDEX(Fixtures_Results!$E$2:$F$12,MATCH($A248,Fixtures_Results!$A$2:$A$12,0),MATCH("BatTeam"&amp;$B248,Fixtures_Results!$E$1:$F$1,0)),"")</f>
        <v/>
      </c>
      <c r="D248" s="4" t="str">
        <f t="array" ref="D248">iferror(INDEX(Fixtures_Results!$E$2:$F$12,MATCH($A248,Fixtures_Results!$A$2:$A$12,0),MATCH("BatTeam"&amp;2*1/$B248,Fixtures_Results!$E$1:$F$1,0)),"")</f>
        <v/>
      </c>
      <c r="E248" s="6"/>
      <c r="F248" s="11"/>
      <c r="G248" s="11"/>
      <c r="H248" s="11"/>
      <c r="I248" s="11"/>
      <c r="J248" s="6"/>
      <c r="K248" s="11"/>
      <c r="L248" s="11"/>
      <c r="N248" s="4" t="str">
        <f t="array" ref="N248">iferror(transpose(INDIRECT(SUBSTITUTE($C248," ","_"))),"")</f>
        <v/>
      </c>
      <c r="Z248" s="4" t="str">
        <f t="array" ref="Z248">iferror(transpose(INDIRECT(SUBSTITUTE($D248," ","_"))),"")</f>
        <v/>
      </c>
    </row>
    <row r="249" ht="15.75" customHeight="1">
      <c r="A249" s="11"/>
      <c r="B249" s="11"/>
      <c r="C249" s="4" t="str">
        <f t="array" ref="C249">iferror(INDEX(Fixtures_Results!$E$2:$F$12,MATCH($A249,Fixtures_Results!$A$2:$A$12,0),MATCH("BatTeam"&amp;$B249,Fixtures_Results!$E$1:$F$1,0)),"")</f>
        <v/>
      </c>
      <c r="D249" s="4" t="str">
        <f t="array" ref="D249">iferror(INDEX(Fixtures_Results!$E$2:$F$12,MATCH($A249,Fixtures_Results!$A$2:$A$12,0),MATCH("BatTeam"&amp;2*1/$B249,Fixtures_Results!$E$1:$F$1,0)),"")</f>
        <v/>
      </c>
      <c r="E249" s="6"/>
      <c r="F249" s="11"/>
      <c r="G249" s="11"/>
      <c r="H249" s="11"/>
      <c r="I249" s="11"/>
      <c r="J249" s="6"/>
      <c r="K249" s="11"/>
      <c r="L249" s="11"/>
      <c r="N249" s="4" t="str">
        <f t="array" ref="N249">iferror(transpose(INDIRECT(SUBSTITUTE($C249," ","_"))),"")</f>
        <v/>
      </c>
      <c r="Z249" s="4" t="str">
        <f t="array" ref="Z249">iferror(transpose(INDIRECT(SUBSTITUTE($D249," ","_"))),"")</f>
        <v/>
      </c>
    </row>
    <row r="250" ht="15.75" customHeight="1">
      <c r="A250" s="11"/>
      <c r="B250" s="11"/>
      <c r="C250" s="4" t="str">
        <f t="array" ref="C250">iferror(INDEX(Fixtures_Results!$E$2:$F$12,MATCH($A250,Fixtures_Results!$A$2:$A$12,0),MATCH("BatTeam"&amp;$B250,Fixtures_Results!$E$1:$F$1,0)),"")</f>
        <v/>
      </c>
      <c r="D250" s="4" t="str">
        <f t="array" ref="D250">iferror(INDEX(Fixtures_Results!$E$2:$F$12,MATCH($A250,Fixtures_Results!$A$2:$A$12,0),MATCH("BatTeam"&amp;2*1/$B250,Fixtures_Results!$E$1:$F$1,0)),"")</f>
        <v/>
      </c>
      <c r="E250" s="6"/>
      <c r="F250" s="11"/>
      <c r="G250" s="11"/>
      <c r="H250" s="11"/>
      <c r="I250" s="11"/>
      <c r="J250" s="6"/>
      <c r="K250" s="11"/>
      <c r="L250" s="11"/>
      <c r="N250" s="4" t="str">
        <f t="array" ref="N250">iferror(transpose(INDIRECT(SUBSTITUTE($C250," ","_"))),"")</f>
        <v/>
      </c>
      <c r="Z250" s="4" t="str">
        <f t="array" ref="Z250">iferror(transpose(INDIRECT(SUBSTITUTE($D250," ","_"))),"")</f>
        <v/>
      </c>
    </row>
    <row r="251" ht="15.75" customHeight="1">
      <c r="A251" s="11"/>
      <c r="B251" s="11"/>
      <c r="C251" s="4" t="str">
        <f t="array" ref="C251">iferror(INDEX(Fixtures_Results!$E$2:$F$12,MATCH($A251,Fixtures_Results!$A$2:$A$12,0),MATCH("BatTeam"&amp;$B251,Fixtures_Results!$E$1:$F$1,0)),"")</f>
        <v/>
      </c>
      <c r="D251" s="4" t="str">
        <f t="array" ref="D251">iferror(INDEX(Fixtures_Results!$E$2:$F$12,MATCH($A251,Fixtures_Results!$A$2:$A$12,0),MATCH("BatTeam"&amp;2*1/$B251,Fixtures_Results!$E$1:$F$1,0)),"")</f>
        <v/>
      </c>
      <c r="E251" s="6"/>
      <c r="F251" s="11"/>
      <c r="G251" s="11"/>
      <c r="H251" s="11"/>
      <c r="I251" s="11"/>
      <c r="J251" s="6"/>
      <c r="K251" s="11"/>
      <c r="L251" s="11"/>
      <c r="N251" s="4" t="str">
        <f t="array" ref="N251">iferror(transpose(INDIRECT(SUBSTITUTE($C251," ","_"))),"")</f>
        <v/>
      </c>
      <c r="Z251" s="4" t="str">
        <f t="array" ref="Z251">iferror(transpose(INDIRECT(SUBSTITUTE($D251," ","_"))),"")</f>
        <v/>
      </c>
    </row>
    <row r="252" ht="15.75" customHeight="1">
      <c r="A252" s="11"/>
      <c r="B252" s="11"/>
      <c r="C252" s="4" t="str">
        <f t="array" ref="C252">iferror(INDEX(Fixtures_Results!$E$2:$F$12,MATCH($A252,Fixtures_Results!$A$2:$A$12,0),MATCH("BatTeam"&amp;$B252,Fixtures_Results!$E$1:$F$1,0)),"")</f>
        <v/>
      </c>
      <c r="D252" s="4" t="str">
        <f t="array" ref="D252">iferror(INDEX(Fixtures_Results!$E$2:$F$12,MATCH($A252,Fixtures_Results!$A$2:$A$12,0),MATCH("BatTeam"&amp;2*1/$B252,Fixtures_Results!$E$1:$F$1,0)),"")</f>
        <v/>
      </c>
      <c r="E252" s="6"/>
      <c r="F252" s="11"/>
      <c r="G252" s="11"/>
      <c r="H252" s="11"/>
      <c r="I252" s="11"/>
      <c r="J252" s="6"/>
      <c r="K252" s="11"/>
      <c r="L252" s="11"/>
      <c r="N252" s="4" t="str">
        <f t="array" ref="N252">iferror(transpose(INDIRECT(SUBSTITUTE($C252," ","_"))),"")</f>
        <v/>
      </c>
      <c r="Z252" s="4" t="str">
        <f t="array" ref="Z252">iferror(transpose(INDIRECT(SUBSTITUTE($D252," ","_"))),"")</f>
        <v/>
      </c>
    </row>
    <row r="253" ht="15.75" customHeight="1">
      <c r="A253" s="11"/>
      <c r="B253" s="11"/>
      <c r="C253" s="4" t="str">
        <f t="array" ref="C253">iferror(INDEX(Fixtures_Results!$E$2:$F$12,MATCH($A253,Fixtures_Results!$A$2:$A$12,0),MATCH("BatTeam"&amp;$B253,Fixtures_Results!$E$1:$F$1,0)),"")</f>
        <v/>
      </c>
      <c r="D253" s="4" t="str">
        <f t="array" ref="D253">iferror(INDEX(Fixtures_Results!$E$2:$F$12,MATCH($A253,Fixtures_Results!$A$2:$A$12,0),MATCH("BatTeam"&amp;2*1/$B253,Fixtures_Results!$E$1:$F$1,0)),"")</f>
        <v/>
      </c>
      <c r="E253" s="6"/>
      <c r="F253" s="11"/>
      <c r="G253" s="11"/>
      <c r="H253" s="11"/>
      <c r="I253" s="11"/>
      <c r="J253" s="6"/>
      <c r="K253" s="11"/>
      <c r="L253" s="11"/>
      <c r="N253" s="4" t="str">
        <f t="array" ref="N253">iferror(transpose(INDIRECT(SUBSTITUTE($C253," ","_"))),"")</f>
        <v/>
      </c>
      <c r="Z253" s="4" t="str">
        <f t="array" ref="Z253">iferror(transpose(INDIRECT(SUBSTITUTE($D253," ","_"))),"")</f>
        <v/>
      </c>
    </row>
    <row r="254" ht="15.75" customHeight="1">
      <c r="A254" s="11"/>
      <c r="B254" s="11"/>
      <c r="C254" s="4" t="str">
        <f t="array" ref="C254">iferror(INDEX(Fixtures_Results!$E$2:$F$12,MATCH($A254,Fixtures_Results!$A$2:$A$12,0),MATCH("BatTeam"&amp;$B254,Fixtures_Results!$E$1:$F$1,0)),"")</f>
        <v/>
      </c>
      <c r="D254" s="4" t="str">
        <f t="array" ref="D254">iferror(INDEX(Fixtures_Results!$E$2:$F$12,MATCH($A254,Fixtures_Results!$A$2:$A$12,0),MATCH("BatTeam"&amp;2*1/$B254,Fixtures_Results!$E$1:$F$1,0)),"")</f>
        <v/>
      </c>
      <c r="E254" s="6"/>
      <c r="F254" s="11"/>
      <c r="G254" s="11"/>
      <c r="H254" s="11"/>
      <c r="I254" s="11"/>
      <c r="J254" s="6"/>
      <c r="K254" s="11"/>
      <c r="L254" s="11"/>
      <c r="N254" s="4" t="str">
        <f t="array" ref="N254">iferror(transpose(INDIRECT(SUBSTITUTE($C254," ","_"))),"")</f>
        <v/>
      </c>
      <c r="Z254" s="4" t="str">
        <f t="array" ref="Z254">iferror(transpose(INDIRECT(SUBSTITUTE($D254," ","_"))),"")</f>
        <v/>
      </c>
    </row>
    <row r="255" ht="15.75" customHeight="1">
      <c r="A255" s="11"/>
      <c r="B255" s="11"/>
      <c r="C255" s="4" t="str">
        <f t="array" ref="C255">iferror(INDEX(Fixtures_Results!$E$2:$F$12,MATCH($A255,Fixtures_Results!$A$2:$A$12,0),MATCH("BatTeam"&amp;$B255,Fixtures_Results!$E$1:$F$1,0)),"")</f>
        <v/>
      </c>
      <c r="D255" s="4" t="str">
        <f t="array" ref="D255">iferror(INDEX(Fixtures_Results!$E$2:$F$12,MATCH($A255,Fixtures_Results!$A$2:$A$12,0),MATCH("BatTeam"&amp;2*1/$B255,Fixtures_Results!$E$1:$F$1,0)),"")</f>
        <v/>
      </c>
      <c r="E255" s="6"/>
      <c r="F255" s="11"/>
      <c r="G255" s="11"/>
      <c r="H255" s="11"/>
      <c r="I255" s="11"/>
      <c r="J255" s="6"/>
      <c r="K255" s="11"/>
      <c r="L255" s="11"/>
      <c r="N255" s="4" t="str">
        <f t="array" ref="N255">iferror(transpose(INDIRECT(SUBSTITUTE($C255," ","_"))),"")</f>
        <v/>
      </c>
      <c r="Z255" s="4" t="str">
        <f t="array" ref="Z255">iferror(transpose(INDIRECT(SUBSTITUTE($D255," ","_"))),"")</f>
        <v/>
      </c>
    </row>
    <row r="256" ht="15.75" customHeight="1">
      <c r="A256" s="11"/>
      <c r="B256" s="11"/>
      <c r="C256" s="4" t="str">
        <f t="array" ref="C256">iferror(INDEX(Fixtures_Results!$E$2:$F$12,MATCH($A256,Fixtures_Results!$A$2:$A$12,0),MATCH("BatTeam"&amp;$B256,Fixtures_Results!$E$1:$F$1,0)),"")</f>
        <v/>
      </c>
      <c r="D256" s="4" t="str">
        <f t="array" ref="D256">iferror(INDEX(Fixtures_Results!$E$2:$F$12,MATCH($A256,Fixtures_Results!$A$2:$A$12,0),MATCH("BatTeam"&amp;2*1/$B256,Fixtures_Results!$E$1:$F$1,0)),"")</f>
        <v/>
      </c>
      <c r="E256" s="6"/>
      <c r="F256" s="11"/>
      <c r="G256" s="11"/>
      <c r="H256" s="11"/>
      <c r="I256" s="11"/>
      <c r="J256" s="6"/>
      <c r="K256" s="11"/>
      <c r="L256" s="11"/>
      <c r="N256" s="4" t="str">
        <f t="array" ref="N256">iferror(transpose(INDIRECT(SUBSTITUTE($C256," ","_"))),"")</f>
        <v/>
      </c>
      <c r="Z256" s="4" t="str">
        <f t="array" ref="Z256">iferror(transpose(INDIRECT(SUBSTITUTE($D256," ","_"))),"")</f>
        <v/>
      </c>
    </row>
    <row r="257" ht="15.75" customHeight="1">
      <c r="A257" s="11"/>
      <c r="B257" s="11"/>
      <c r="C257" s="4" t="str">
        <f t="array" ref="C257">iferror(INDEX(Fixtures_Results!$E$2:$F$12,MATCH($A257,Fixtures_Results!$A$2:$A$12,0),MATCH("BatTeam"&amp;$B257,Fixtures_Results!$E$1:$F$1,0)),"")</f>
        <v/>
      </c>
      <c r="D257" s="4" t="str">
        <f t="array" ref="D257">iferror(INDEX(Fixtures_Results!$E$2:$F$12,MATCH($A257,Fixtures_Results!$A$2:$A$12,0),MATCH("BatTeam"&amp;2*1/$B257,Fixtures_Results!$E$1:$F$1,0)),"")</f>
        <v/>
      </c>
      <c r="E257" s="6"/>
      <c r="F257" s="11"/>
      <c r="G257" s="11"/>
      <c r="H257" s="11"/>
      <c r="I257" s="11"/>
      <c r="J257" s="6"/>
      <c r="K257" s="11"/>
      <c r="L257" s="11"/>
      <c r="N257" s="4" t="str">
        <f t="array" ref="N257">iferror(transpose(INDIRECT(SUBSTITUTE($C257," ","_"))),"")</f>
        <v/>
      </c>
      <c r="Z257" s="4" t="str">
        <f t="array" ref="Z257">iferror(transpose(INDIRECT(SUBSTITUTE($D257," ","_"))),"")</f>
        <v/>
      </c>
    </row>
    <row r="258" ht="15.75" customHeight="1">
      <c r="A258" s="11"/>
      <c r="B258" s="11"/>
      <c r="C258" s="4" t="str">
        <f t="array" ref="C258">iferror(INDEX(Fixtures_Results!$E$2:$F$12,MATCH($A258,Fixtures_Results!$A$2:$A$12,0),MATCH("BatTeam"&amp;$B258,Fixtures_Results!$E$1:$F$1,0)),"")</f>
        <v/>
      </c>
      <c r="D258" s="4" t="str">
        <f t="array" ref="D258">iferror(INDEX(Fixtures_Results!$E$2:$F$12,MATCH($A258,Fixtures_Results!$A$2:$A$12,0),MATCH("BatTeam"&amp;2*1/$B258,Fixtures_Results!$E$1:$F$1,0)),"")</f>
        <v/>
      </c>
      <c r="E258" s="6"/>
      <c r="F258" s="11"/>
      <c r="G258" s="11"/>
      <c r="H258" s="11"/>
      <c r="I258" s="11"/>
      <c r="J258" s="6"/>
      <c r="K258" s="11"/>
      <c r="L258" s="11"/>
      <c r="N258" s="4" t="str">
        <f t="array" ref="N258">iferror(transpose(INDIRECT(SUBSTITUTE($C258," ","_"))),"")</f>
        <v/>
      </c>
      <c r="Z258" s="4" t="str">
        <f t="array" ref="Z258">iferror(transpose(INDIRECT(SUBSTITUTE($D258," ","_"))),"")</f>
        <v/>
      </c>
    </row>
    <row r="259" ht="15.75" customHeight="1">
      <c r="A259" s="11"/>
      <c r="B259" s="11"/>
      <c r="C259" s="4" t="str">
        <f t="array" ref="C259">iferror(INDEX(Fixtures_Results!$E$2:$F$12,MATCH($A259,Fixtures_Results!$A$2:$A$12,0),MATCH("BatTeam"&amp;$B259,Fixtures_Results!$E$1:$F$1,0)),"")</f>
        <v/>
      </c>
      <c r="D259" s="4" t="str">
        <f t="array" ref="D259">iferror(INDEX(Fixtures_Results!$E$2:$F$12,MATCH($A259,Fixtures_Results!$A$2:$A$12,0),MATCH("BatTeam"&amp;2*1/$B259,Fixtures_Results!$E$1:$F$1,0)),"")</f>
        <v/>
      </c>
      <c r="E259" s="6"/>
      <c r="F259" s="11"/>
      <c r="G259" s="11"/>
      <c r="H259" s="11"/>
      <c r="I259" s="11"/>
      <c r="J259" s="6"/>
      <c r="K259" s="11"/>
      <c r="L259" s="11"/>
      <c r="N259" s="4" t="str">
        <f t="array" ref="N259">iferror(transpose(INDIRECT(SUBSTITUTE($C259," ","_"))),"")</f>
        <v/>
      </c>
      <c r="Z259" s="4" t="str">
        <f t="array" ref="Z259">iferror(transpose(INDIRECT(SUBSTITUTE($D259," ","_"))),"")</f>
        <v/>
      </c>
    </row>
    <row r="260" ht="15.75" customHeight="1">
      <c r="A260" s="11"/>
      <c r="B260" s="11"/>
      <c r="C260" s="4" t="str">
        <f t="array" ref="C260">iferror(INDEX(Fixtures_Results!$E$2:$F$12,MATCH($A260,Fixtures_Results!$A$2:$A$12,0),MATCH("BatTeam"&amp;$B260,Fixtures_Results!$E$1:$F$1,0)),"")</f>
        <v/>
      </c>
      <c r="D260" s="4" t="str">
        <f t="array" ref="D260">iferror(INDEX(Fixtures_Results!$E$2:$F$12,MATCH($A260,Fixtures_Results!$A$2:$A$12,0),MATCH("BatTeam"&amp;2*1/$B260,Fixtures_Results!$E$1:$F$1,0)),"")</f>
        <v/>
      </c>
      <c r="E260" s="6"/>
      <c r="F260" s="11"/>
      <c r="G260" s="11"/>
      <c r="H260" s="11"/>
      <c r="I260" s="11"/>
      <c r="J260" s="6"/>
      <c r="K260" s="11"/>
      <c r="L260" s="11"/>
      <c r="N260" s="4" t="str">
        <f t="array" ref="N260">iferror(transpose(INDIRECT(SUBSTITUTE($C260," ","_"))),"")</f>
        <v/>
      </c>
      <c r="Z260" s="4" t="str">
        <f t="array" ref="Z260">iferror(transpose(INDIRECT(SUBSTITUTE($D260," ","_"))),"")</f>
        <v/>
      </c>
    </row>
    <row r="261" ht="15.75" customHeight="1">
      <c r="A261" s="11"/>
      <c r="B261" s="11"/>
      <c r="C261" s="4" t="str">
        <f t="array" ref="C261">iferror(INDEX(Fixtures_Results!$E$2:$F$12,MATCH($A261,Fixtures_Results!$A$2:$A$12,0),MATCH("BatTeam"&amp;$B261,Fixtures_Results!$E$1:$F$1,0)),"")</f>
        <v/>
      </c>
      <c r="D261" s="4" t="str">
        <f t="array" ref="D261">iferror(INDEX(Fixtures_Results!$E$2:$F$12,MATCH($A261,Fixtures_Results!$A$2:$A$12,0),MATCH("BatTeam"&amp;2*1/$B261,Fixtures_Results!$E$1:$F$1,0)),"")</f>
        <v/>
      </c>
      <c r="E261" s="6"/>
      <c r="F261" s="11"/>
      <c r="G261" s="11"/>
      <c r="H261" s="11"/>
      <c r="I261" s="11"/>
      <c r="J261" s="6"/>
      <c r="K261" s="11"/>
      <c r="L261" s="11"/>
      <c r="N261" s="4" t="str">
        <f t="array" ref="N261">iferror(transpose(INDIRECT(SUBSTITUTE($C261," ","_"))),"")</f>
        <v/>
      </c>
      <c r="Z261" s="4" t="str">
        <f t="array" ref="Z261">iferror(transpose(INDIRECT(SUBSTITUTE($D261," ","_"))),"")</f>
        <v/>
      </c>
    </row>
    <row r="262" ht="15.75" customHeight="1">
      <c r="A262" s="11"/>
      <c r="B262" s="11"/>
      <c r="C262" s="4" t="str">
        <f t="array" ref="C262">iferror(INDEX(Fixtures_Results!$E$2:$F$12,MATCH($A262,Fixtures_Results!$A$2:$A$12,0),MATCH("BatTeam"&amp;$B262,Fixtures_Results!$E$1:$F$1,0)),"")</f>
        <v/>
      </c>
      <c r="D262" s="4" t="str">
        <f t="array" ref="D262">iferror(INDEX(Fixtures_Results!$E$2:$F$12,MATCH($A262,Fixtures_Results!$A$2:$A$12,0),MATCH("BatTeam"&amp;2*1/$B262,Fixtures_Results!$E$1:$F$1,0)),"")</f>
        <v/>
      </c>
      <c r="E262" s="6"/>
      <c r="F262" s="11"/>
      <c r="G262" s="11"/>
      <c r="H262" s="11"/>
      <c r="I262" s="11"/>
      <c r="J262" s="6"/>
      <c r="K262" s="11"/>
      <c r="L262" s="11"/>
      <c r="N262" s="4" t="str">
        <f t="array" ref="N262">iferror(transpose(INDIRECT(SUBSTITUTE($C262," ","_"))),"")</f>
        <v/>
      </c>
      <c r="Z262" s="4" t="str">
        <f t="array" ref="Z262">iferror(transpose(INDIRECT(SUBSTITUTE($D262," ","_"))),"")</f>
        <v/>
      </c>
    </row>
    <row r="263" ht="15.75" customHeight="1">
      <c r="A263" s="11"/>
      <c r="B263" s="11"/>
      <c r="C263" s="4" t="str">
        <f t="array" ref="C263">iferror(INDEX(Fixtures_Results!$E$2:$F$12,MATCH($A263,Fixtures_Results!$A$2:$A$12,0),MATCH("BatTeam"&amp;$B263,Fixtures_Results!$E$1:$F$1,0)),"")</f>
        <v/>
      </c>
      <c r="D263" s="4" t="str">
        <f t="array" ref="D263">iferror(INDEX(Fixtures_Results!$E$2:$F$12,MATCH($A263,Fixtures_Results!$A$2:$A$12,0),MATCH("BatTeam"&amp;2*1/$B263,Fixtures_Results!$E$1:$F$1,0)),"")</f>
        <v/>
      </c>
      <c r="E263" s="6"/>
      <c r="F263" s="11"/>
      <c r="G263" s="11"/>
      <c r="H263" s="11"/>
      <c r="I263" s="11"/>
      <c r="J263" s="6"/>
      <c r="K263" s="11"/>
      <c r="L263" s="11"/>
      <c r="N263" s="4" t="str">
        <f t="array" ref="N263">iferror(transpose(INDIRECT(SUBSTITUTE($C263," ","_"))),"")</f>
        <v/>
      </c>
      <c r="Z263" s="4" t="str">
        <f t="array" ref="Z263">iferror(transpose(INDIRECT(SUBSTITUTE($D263," ","_"))),"")</f>
        <v/>
      </c>
    </row>
    <row r="264" ht="15.75" customHeight="1">
      <c r="A264" s="11"/>
      <c r="B264" s="11"/>
      <c r="C264" s="4" t="str">
        <f t="array" ref="C264">iferror(INDEX(Fixtures_Results!$E$2:$F$12,MATCH($A264,Fixtures_Results!$A$2:$A$12,0),MATCH("BatTeam"&amp;$B264,Fixtures_Results!$E$1:$F$1,0)),"")</f>
        <v/>
      </c>
      <c r="D264" s="4" t="str">
        <f t="array" ref="D264">iferror(INDEX(Fixtures_Results!$E$2:$F$12,MATCH($A264,Fixtures_Results!$A$2:$A$12,0),MATCH("BatTeam"&amp;2*1/$B264,Fixtures_Results!$E$1:$F$1,0)),"")</f>
        <v/>
      </c>
      <c r="E264" s="6"/>
      <c r="F264" s="11"/>
      <c r="G264" s="11"/>
      <c r="H264" s="11"/>
      <c r="I264" s="11"/>
      <c r="J264" s="6"/>
      <c r="K264" s="11"/>
      <c r="L264" s="11"/>
      <c r="N264" s="4" t="str">
        <f t="array" ref="N264">iferror(transpose(INDIRECT(SUBSTITUTE($C264," ","_"))),"")</f>
        <v/>
      </c>
      <c r="Z264" s="4" t="str">
        <f t="array" ref="Z264">iferror(transpose(INDIRECT(SUBSTITUTE($D264," ","_"))),"")</f>
        <v/>
      </c>
    </row>
    <row r="265" ht="15.75" customHeight="1">
      <c r="A265" s="11"/>
      <c r="B265" s="11"/>
      <c r="C265" s="4" t="str">
        <f t="array" ref="C265">iferror(INDEX(Fixtures_Results!$E$2:$F$12,MATCH($A265,Fixtures_Results!$A$2:$A$12,0),MATCH("BatTeam"&amp;$B265,Fixtures_Results!$E$1:$F$1,0)),"")</f>
        <v/>
      </c>
      <c r="D265" s="4" t="str">
        <f t="array" ref="D265">iferror(INDEX(Fixtures_Results!$E$2:$F$12,MATCH($A265,Fixtures_Results!$A$2:$A$12,0),MATCH("BatTeam"&amp;2*1/$B265,Fixtures_Results!$E$1:$F$1,0)),"")</f>
        <v/>
      </c>
      <c r="E265" s="6"/>
      <c r="F265" s="11"/>
      <c r="G265" s="11"/>
      <c r="H265" s="11"/>
      <c r="I265" s="11"/>
      <c r="J265" s="6"/>
      <c r="K265" s="11"/>
      <c r="L265" s="11"/>
      <c r="N265" s="4" t="str">
        <f t="array" ref="N265">iferror(transpose(INDIRECT(SUBSTITUTE($C265," ","_"))),"")</f>
        <v/>
      </c>
      <c r="Z265" s="4" t="str">
        <f t="array" ref="Z265">iferror(transpose(INDIRECT(SUBSTITUTE($D265," ","_"))),"")</f>
        <v/>
      </c>
    </row>
    <row r="266" ht="15.75" customHeight="1">
      <c r="A266" s="11"/>
      <c r="B266" s="11"/>
      <c r="C266" s="4" t="str">
        <f t="array" ref="C266">iferror(INDEX(Fixtures_Results!$E$2:$F$12,MATCH($A266,Fixtures_Results!$A$2:$A$12,0),MATCH("BatTeam"&amp;$B266,Fixtures_Results!$E$1:$F$1,0)),"")</f>
        <v/>
      </c>
      <c r="D266" s="4" t="str">
        <f t="array" ref="D266">iferror(INDEX(Fixtures_Results!$E$2:$F$12,MATCH($A266,Fixtures_Results!$A$2:$A$12,0),MATCH("BatTeam"&amp;2*1/$B266,Fixtures_Results!$E$1:$F$1,0)),"")</f>
        <v/>
      </c>
      <c r="E266" s="6"/>
      <c r="F266" s="11"/>
      <c r="G266" s="11"/>
      <c r="H266" s="11"/>
      <c r="I266" s="11"/>
      <c r="J266" s="6"/>
      <c r="K266" s="11"/>
      <c r="L266" s="11"/>
      <c r="N266" s="4" t="str">
        <f t="array" ref="N266">iferror(transpose(INDIRECT(SUBSTITUTE($C266," ","_"))),"")</f>
        <v/>
      </c>
      <c r="Z266" s="4" t="str">
        <f t="array" ref="Z266">iferror(transpose(INDIRECT(SUBSTITUTE($D266," ","_"))),"")</f>
        <v/>
      </c>
    </row>
    <row r="267" ht="15.75" customHeight="1">
      <c r="A267" s="11"/>
      <c r="B267" s="11"/>
      <c r="C267" s="4" t="str">
        <f t="array" ref="C267">iferror(INDEX(Fixtures_Results!$E$2:$F$12,MATCH($A267,Fixtures_Results!$A$2:$A$12,0),MATCH("BatTeam"&amp;$B267,Fixtures_Results!$E$1:$F$1,0)),"")</f>
        <v/>
      </c>
      <c r="D267" s="4" t="str">
        <f t="array" ref="D267">iferror(INDEX(Fixtures_Results!$E$2:$F$12,MATCH($A267,Fixtures_Results!$A$2:$A$12,0),MATCH("BatTeam"&amp;2*1/$B267,Fixtures_Results!$E$1:$F$1,0)),"")</f>
        <v/>
      </c>
      <c r="E267" s="6"/>
      <c r="F267" s="11"/>
      <c r="G267" s="11"/>
      <c r="H267" s="11"/>
      <c r="I267" s="11"/>
      <c r="J267" s="6"/>
      <c r="K267" s="11"/>
      <c r="L267" s="11"/>
      <c r="N267" s="4" t="str">
        <f t="array" ref="N267">iferror(transpose(INDIRECT(SUBSTITUTE($C267," ","_"))),"")</f>
        <v/>
      </c>
      <c r="Z267" s="4" t="str">
        <f t="array" ref="Z267">iferror(transpose(INDIRECT(SUBSTITUTE($D267," ","_"))),"")</f>
        <v/>
      </c>
    </row>
    <row r="268" ht="15.75" customHeight="1">
      <c r="A268" s="11"/>
      <c r="B268" s="11"/>
      <c r="C268" s="4" t="str">
        <f t="array" ref="C268">iferror(INDEX(Fixtures_Results!$E$2:$F$12,MATCH($A268,Fixtures_Results!$A$2:$A$12,0),MATCH("BatTeam"&amp;$B268,Fixtures_Results!$E$1:$F$1,0)),"")</f>
        <v/>
      </c>
      <c r="D268" s="4" t="str">
        <f t="array" ref="D268">iferror(INDEX(Fixtures_Results!$E$2:$F$12,MATCH($A268,Fixtures_Results!$A$2:$A$12,0),MATCH("BatTeam"&amp;2*1/$B268,Fixtures_Results!$E$1:$F$1,0)),"")</f>
        <v/>
      </c>
      <c r="E268" s="6"/>
      <c r="F268" s="11"/>
      <c r="G268" s="11"/>
      <c r="H268" s="11"/>
      <c r="I268" s="11"/>
      <c r="J268" s="6"/>
      <c r="K268" s="11"/>
      <c r="L268" s="11"/>
      <c r="N268" s="4" t="str">
        <f t="array" ref="N268">iferror(transpose(INDIRECT(SUBSTITUTE($C268," ","_"))),"")</f>
        <v/>
      </c>
      <c r="Z268" s="4" t="str">
        <f t="array" ref="Z268">iferror(transpose(INDIRECT(SUBSTITUTE($D268," ","_"))),"")</f>
        <v/>
      </c>
    </row>
    <row r="269" ht="15.75" customHeight="1">
      <c r="A269" s="11"/>
      <c r="B269" s="11"/>
      <c r="C269" s="4" t="str">
        <f t="array" ref="C269">iferror(INDEX(Fixtures_Results!$E$2:$F$12,MATCH($A269,Fixtures_Results!$A$2:$A$12,0),MATCH("BatTeam"&amp;$B269,Fixtures_Results!$E$1:$F$1,0)),"")</f>
        <v/>
      </c>
      <c r="D269" s="4" t="str">
        <f t="array" ref="D269">iferror(INDEX(Fixtures_Results!$E$2:$F$12,MATCH($A269,Fixtures_Results!$A$2:$A$12,0),MATCH("BatTeam"&amp;2*1/$B269,Fixtures_Results!$E$1:$F$1,0)),"")</f>
        <v/>
      </c>
      <c r="E269" s="6"/>
      <c r="F269" s="11"/>
      <c r="G269" s="11"/>
      <c r="H269" s="11"/>
      <c r="I269" s="11"/>
      <c r="J269" s="6"/>
      <c r="K269" s="11"/>
      <c r="L269" s="11"/>
      <c r="N269" s="4" t="str">
        <f t="array" ref="N269">iferror(transpose(INDIRECT(SUBSTITUTE($C269," ","_"))),"")</f>
        <v/>
      </c>
      <c r="Z269" s="4" t="str">
        <f t="array" ref="Z269">iferror(transpose(INDIRECT(SUBSTITUTE($D269," ","_"))),"")</f>
        <v/>
      </c>
    </row>
    <row r="270" ht="15.75" customHeight="1">
      <c r="A270" s="11"/>
      <c r="B270" s="11"/>
      <c r="C270" s="4" t="str">
        <f t="array" ref="C270">iferror(INDEX(Fixtures_Results!$E$2:$F$12,MATCH($A270,Fixtures_Results!$A$2:$A$12,0),MATCH("BatTeam"&amp;$B270,Fixtures_Results!$E$1:$F$1,0)),"")</f>
        <v/>
      </c>
      <c r="D270" s="4" t="str">
        <f t="array" ref="D270">iferror(INDEX(Fixtures_Results!$E$2:$F$12,MATCH($A270,Fixtures_Results!$A$2:$A$12,0),MATCH("BatTeam"&amp;2*1/$B270,Fixtures_Results!$E$1:$F$1,0)),"")</f>
        <v/>
      </c>
      <c r="E270" s="6"/>
      <c r="F270" s="11"/>
      <c r="G270" s="11"/>
      <c r="H270" s="11"/>
      <c r="I270" s="11"/>
      <c r="J270" s="6"/>
      <c r="K270" s="11"/>
      <c r="L270" s="11"/>
      <c r="N270" s="4" t="str">
        <f t="array" ref="N270">iferror(transpose(INDIRECT(SUBSTITUTE($C270," ","_"))),"")</f>
        <v/>
      </c>
      <c r="Z270" s="4" t="str">
        <f t="array" ref="Z270">iferror(transpose(INDIRECT(SUBSTITUTE($D270," ","_"))),"")</f>
        <v/>
      </c>
    </row>
    <row r="271" ht="15.75" customHeight="1">
      <c r="A271" s="11"/>
      <c r="B271" s="11"/>
      <c r="C271" s="4" t="str">
        <f t="array" ref="C271">iferror(INDEX(Fixtures_Results!$E$2:$F$12,MATCH($A271,Fixtures_Results!$A$2:$A$12,0),MATCH("BatTeam"&amp;$B271,Fixtures_Results!$E$1:$F$1,0)),"")</f>
        <v/>
      </c>
      <c r="D271" s="4" t="str">
        <f t="array" ref="D271">iferror(INDEX(Fixtures_Results!$E$2:$F$12,MATCH($A271,Fixtures_Results!$A$2:$A$12,0),MATCH("BatTeam"&amp;2*1/$B271,Fixtures_Results!$E$1:$F$1,0)),"")</f>
        <v/>
      </c>
      <c r="E271" s="6"/>
      <c r="F271" s="11"/>
      <c r="G271" s="11"/>
      <c r="H271" s="11"/>
      <c r="I271" s="11"/>
      <c r="J271" s="6"/>
      <c r="K271" s="11"/>
      <c r="L271" s="11"/>
      <c r="N271" s="4" t="str">
        <f t="array" ref="N271">iferror(transpose(INDIRECT(SUBSTITUTE($C271," ","_"))),"")</f>
        <v/>
      </c>
      <c r="Z271" s="4" t="str">
        <f t="array" ref="Z271">iferror(transpose(INDIRECT(SUBSTITUTE($D271," ","_"))),"")</f>
        <v/>
      </c>
    </row>
    <row r="272" ht="15.75" customHeight="1">
      <c r="A272" s="11"/>
      <c r="B272" s="11"/>
      <c r="C272" s="4" t="str">
        <f t="array" ref="C272">iferror(INDEX(Fixtures_Results!$E$2:$F$12,MATCH($A272,Fixtures_Results!$A$2:$A$12,0),MATCH("BatTeam"&amp;$B272,Fixtures_Results!$E$1:$F$1,0)),"")</f>
        <v/>
      </c>
      <c r="D272" s="4" t="str">
        <f t="array" ref="D272">iferror(INDEX(Fixtures_Results!$E$2:$F$12,MATCH($A272,Fixtures_Results!$A$2:$A$12,0),MATCH("BatTeam"&amp;2*1/$B272,Fixtures_Results!$E$1:$F$1,0)),"")</f>
        <v/>
      </c>
      <c r="E272" s="6"/>
      <c r="F272" s="11"/>
      <c r="G272" s="11"/>
      <c r="H272" s="11"/>
      <c r="I272" s="11"/>
      <c r="J272" s="6"/>
      <c r="K272" s="11"/>
      <c r="L272" s="11"/>
      <c r="N272" s="4" t="str">
        <f t="array" ref="N272">iferror(transpose(INDIRECT(SUBSTITUTE($C272," ","_"))),"")</f>
        <v/>
      </c>
      <c r="Z272" s="4" t="str">
        <f t="array" ref="Z272">iferror(transpose(INDIRECT(SUBSTITUTE($D272," ","_"))),"")</f>
        <v/>
      </c>
    </row>
    <row r="273" ht="15.75" customHeight="1">
      <c r="A273" s="11"/>
      <c r="B273" s="11"/>
      <c r="C273" s="4" t="str">
        <f t="array" ref="C273">iferror(INDEX(Fixtures_Results!$E$2:$F$12,MATCH($A273,Fixtures_Results!$A$2:$A$12,0),MATCH("BatTeam"&amp;$B273,Fixtures_Results!$E$1:$F$1,0)),"")</f>
        <v/>
      </c>
      <c r="D273" s="4" t="str">
        <f t="array" ref="D273">iferror(INDEX(Fixtures_Results!$E$2:$F$12,MATCH($A273,Fixtures_Results!$A$2:$A$12,0),MATCH("BatTeam"&amp;2*1/$B273,Fixtures_Results!$E$1:$F$1,0)),"")</f>
        <v/>
      </c>
      <c r="E273" s="6"/>
      <c r="F273" s="11"/>
      <c r="G273" s="11"/>
      <c r="H273" s="11"/>
      <c r="I273" s="11"/>
      <c r="J273" s="6"/>
      <c r="K273" s="11"/>
      <c r="L273" s="11"/>
      <c r="N273" s="4" t="str">
        <f t="array" ref="N273">iferror(transpose(INDIRECT(SUBSTITUTE($C273," ","_"))),"")</f>
        <v/>
      </c>
      <c r="Z273" s="4" t="str">
        <f t="array" ref="Z273">iferror(transpose(INDIRECT(SUBSTITUTE($D273," ","_"))),"")</f>
        <v/>
      </c>
    </row>
    <row r="274" ht="15.75" customHeight="1">
      <c r="A274" s="11"/>
      <c r="B274" s="11"/>
      <c r="C274" s="4" t="str">
        <f t="array" ref="C274">iferror(INDEX(Fixtures_Results!$E$2:$F$12,MATCH($A274,Fixtures_Results!$A$2:$A$12,0),MATCH("BatTeam"&amp;$B274,Fixtures_Results!$E$1:$F$1,0)),"")</f>
        <v/>
      </c>
      <c r="D274" s="4" t="str">
        <f t="array" ref="D274">iferror(INDEX(Fixtures_Results!$E$2:$F$12,MATCH($A274,Fixtures_Results!$A$2:$A$12,0),MATCH("BatTeam"&amp;2*1/$B274,Fixtures_Results!$E$1:$F$1,0)),"")</f>
        <v/>
      </c>
      <c r="E274" s="6"/>
      <c r="F274" s="11"/>
      <c r="G274" s="11"/>
      <c r="H274" s="11"/>
      <c r="I274" s="11"/>
      <c r="J274" s="6"/>
      <c r="K274" s="11"/>
      <c r="L274" s="11"/>
      <c r="N274" s="4" t="str">
        <f t="array" ref="N274">iferror(transpose(INDIRECT(SUBSTITUTE($C274," ","_"))),"")</f>
        <v/>
      </c>
      <c r="Z274" s="4" t="str">
        <f t="array" ref="Z274">iferror(transpose(INDIRECT(SUBSTITUTE($D274," ","_"))),"")</f>
        <v/>
      </c>
    </row>
    <row r="275" ht="15.75" customHeight="1">
      <c r="A275" s="11"/>
      <c r="B275" s="11"/>
      <c r="C275" s="4" t="str">
        <f t="array" ref="C275">iferror(INDEX(Fixtures_Results!$E$2:$F$12,MATCH($A275,Fixtures_Results!$A$2:$A$12,0),MATCH("BatTeam"&amp;$B275,Fixtures_Results!$E$1:$F$1,0)),"")</f>
        <v/>
      </c>
      <c r="D275" s="4" t="str">
        <f t="array" ref="D275">iferror(INDEX(Fixtures_Results!$E$2:$F$12,MATCH($A275,Fixtures_Results!$A$2:$A$12,0),MATCH("BatTeam"&amp;2*1/$B275,Fixtures_Results!$E$1:$F$1,0)),"")</f>
        <v/>
      </c>
      <c r="E275" s="6"/>
      <c r="F275" s="11"/>
      <c r="G275" s="11"/>
      <c r="H275" s="11"/>
      <c r="I275" s="11"/>
      <c r="J275" s="6"/>
      <c r="K275" s="11"/>
      <c r="L275" s="11"/>
      <c r="N275" s="4" t="str">
        <f t="array" ref="N275">iferror(transpose(INDIRECT(SUBSTITUTE($C275," ","_"))),"")</f>
        <v/>
      </c>
      <c r="Z275" s="4" t="str">
        <f t="array" ref="Z275">iferror(transpose(INDIRECT(SUBSTITUTE($D275," ","_"))),"")</f>
        <v/>
      </c>
    </row>
    <row r="276" ht="15.75" customHeight="1">
      <c r="A276" s="11"/>
      <c r="B276" s="11"/>
      <c r="C276" s="4" t="str">
        <f t="array" ref="C276">iferror(INDEX(Fixtures_Results!$E$2:$F$12,MATCH($A276,Fixtures_Results!$A$2:$A$12,0),MATCH("BatTeam"&amp;$B276,Fixtures_Results!$E$1:$F$1,0)),"")</f>
        <v/>
      </c>
      <c r="D276" s="4" t="str">
        <f t="array" ref="D276">iferror(INDEX(Fixtures_Results!$E$2:$F$12,MATCH($A276,Fixtures_Results!$A$2:$A$12,0),MATCH("BatTeam"&amp;2*1/$B276,Fixtures_Results!$E$1:$F$1,0)),"")</f>
        <v/>
      </c>
      <c r="E276" s="6"/>
      <c r="F276" s="11"/>
      <c r="G276" s="11"/>
      <c r="H276" s="11"/>
      <c r="I276" s="11"/>
      <c r="J276" s="6"/>
      <c r="K276" s="11"/>
      <c r="L276" s="11"/>
      <c r="N276" s="4" t="str">
        <f t="array" ref="N276">iferror(transpose(INDIRECT(SUBSTITUTE($C276," ","_"))),"")</f>
        <v/>
      </c>
      <c r="Z276" s="4" t="str">
        <f t="array" ref="Z276">iferror(transpose(INDIRECT(SUBSTITUTE($D276," ","_"))),"")</f>
        <v/>
      </c>
    </row>
    <row r="277" ht="15.75" customHeight="1">
      <c r="A277" s="11"/>
      <c r="B277" s="11"/>
      <c r="C277" s="4" t="str">
        <f t="array" ref="C277">iferror(INDEX(Fixtures_Results!$E$2:$F$12,MATCH($A277,Fixtures_Results!$A$2:$A$12,0),MATCH("BatTeam"&amp;$B277,Fixtures_Results!$E$1:$F$1,0)),"")</f>
        <v/>
      </c>
      <c r="D277" s="4" t="str">
        <f t="array" ref="D277">iferror(INDEX(Fixtures_Results!$E$2:$F$12,MATCH($A277,Fixtures_Results!$A$2:$A$12,0),MATCH("BatTeam"&amp;2*1/$B277,Fixtures_Results!$E$1:$F$1,0)),"")</f>
        <v/>
      </c>
      <c r="E277" s="6"/>
      <c r="F277" s="11"/>
      <c r="G277" s="11"/>
      <c r="H277" s="11"/>
      <c r="I277" s="11"/>
      <c r="J277" s="6"/>
      <c r="K277" s="11"/>
      <c r="L277" s="11"/>
      <c r="N277" s="4" t="str">
        <f t="array" ref="N277">iferror(transpose(INDIRECT(SUBSTITUTE($C277," ","_"))),"")</f>
        <v/>
      </c>
      <c r="Z277" s="4" t="str">
        <f t="array" ref="Z277">iferror(transpose(INDIRECT(SUBSTITUTE($D277," ","_"))),"")</f>
        <v/>
      </c>
    </row>
    <row r="278" ht="15.75" customHeight="1">
      <c r="A278" s="11"/>
      <c r="B278" s="11"/>
      <c r="C278" s="4" t="str">
        <f t="array" ref="C278">iferror(INDEX(Fixtures_Results!$E$2:$F$12,MATCH($A278,Fixtures_Results!$A$2:$A$12,0),MATCH("BatTeam"&amp;$B278,Fixtures_Results!$E$1:$F$1,0)),"")</f>
        <v/>
      </c>
      <c r="D278" s="4" t="str">
        <f t="array" ref="D278">iferror(INDEX(Fixtures_Results!$E$2:$F$12,MATCH($A278,Fixtures_Results!$A$2:$A$12,0),MATCH("BatTeam"&amp;2*1/$B278,Fixtures_Results!$E$1:$F$1,0)),"")</f>
        <v/>
      </c>
      <c r="E278" s="6"/>
      <c r="F278" s="11"/>
      <c r="G278" s="11"/>
      <c r="H278" s="11"/>
      <c r="I278" s="11"/>
      <c r="J278" s="6"/>
      <c r="K278" s="11"/>
      <c r="L278" s="11"/>
      <c r="N278" s="4" t="str">
        <f t="array" ref="N278">iferror(transpose(INDIRECT(SUBSTITUTE($C278," ","_"))),"")</f>
        <v/>
      </c>
      <c r="Z278" s="4" t="str">
        <f t="array" ref="Z278">iferror(transpose(INDIRECT(SUBSTITUTE($D278," ","_"))),"")</f>
        <v/>
      </c>
    </row>
    <row r="279" ht="15.75" customHeight="1">
      <c r="A279" s="11"/>
      <c r="B279" s="11"/>
      <c r="C279" s="4" t="str">
        <f t="array" ref="C279">iferror(INDEX(Fixtures_Results!$E$2:$F$12,MATCH($A279,Fixtures_Results!$A$2:$A$12,0),MATCH("BatTeam"&amp;$B279,Fixtures_Results!$E$1:$F$1,0)),"")</f>
        <v/>
      </c>
      <c r="D279" s="4" t="str">
        <f t="array" ref="D279">iferror(INDEX(Fixtures_Results!$E$2:$F$12,MATCH($A279,Fixtures_Results!$A$2:$A$12,0),MATCH("BatTeam"&amp;2*1/$B279,Fixtures_Results!$E$1:$F$1,0)),"")</f>
        <v/>
      </c>
      <c r="E279" s="6"/>
      <c r="F279" s="11"/>
      <c r="G279" s="11"/>
      <c r="H279" s="11"/>
      <c r="I279" s="11"/>
      <c r="J279" s="6"/>
      <c r="K279" s="11"/>
      <c r="L279" s="11"/>
      <c r="N279" s="4" t="str">
        <f t="array" ref="N279">iferror(transpose(INDIRECT(SUBSTITUTE($C279," ","_"))),"")</f>
        <v/>
      </c>
      <c r="Z279" s="4" t="str">
        <f t="array" ref="Z279">iferror(transpose(INDIRECT(SUBSTITUTE($D279," ","_"))),"")</f>
        <v/>
      </c>
    </row>
    <row r="280" ht="15.75" customHeight="1">
      <c r="A280" s="11"/>
      <c r="B280" s="11"/>
      <c r="C280" s="4" t="str">
        <f t="array" ref="C280">iferror(INDEX(Fixtures_Results!$E$2:$F$12,MATCH($A280,Fixtures_Results!$A$2:$A$12,0),MATCH("BatTeam"&amp;$B280,Fixtures_Results!$E$1:$F$1,0)),"")</f>
        <v/>
      </c>
      <c r="D280" s="4" t="str">
        <f t="array" ref="D280">iferror(INDEX(Fixtures_Results!$E$2:$F$12,MATCH($A280,Fixtures_Results!$A$2:$A$12,0),MATCH("BatTeam"&amp;2*1/$B280,Fixtures_Results!$E$1:$F$1,0)),"")</f>
        <v/>
      </c>
      <c r="E280" s="6"/>
      <c r="F280" s="11"/>
      <c r="G280" s="11"/>
      <c r="H280" s="11"/>
      <c r="I280" s="11"/>
      <c r="J280" s="6"/>
      <c r="K280" s="11"/>
      <c r="L280" s="11"/>
      <c r="N280" s="4" t="str">
        <f t="array" ref="N280">iferror(transpose(INDIRECT(SUBSTITUTE($C280," ","_"))),"")</f>
        <v/>
      </c>
      <c r="Z280" s="4" t="str">
        <f t="array" ref="Z280">iferror(transpose(INDIRECT(SUBSTITUTE($D280," ","_"))),"")</f>
        <v/>
      </c>
    </row>
    <row r="281" ht="15.75" customHeight="1">
      <c r="A281" s="11"/>
      <c r="B281" s="11"/>
      <c r="C281" s="4" t="str">
        <f t="array" ref="C281">iferror(INDEX(Fixtures_Results!$E$2:$F$12,MATCH($A281,Fixtures_Results!$A$2:$A$12,0),MATCH("BatTeam"&amp;$B281,Fixtures_Results!$E$1:$F$1,0)),"")</f>
        <v/>
      </c>
      <c r="D281" s="4" t="str">
        <f t="array" ref="D281">iferror(INDEX(Fixtures_Results!$E$2:$F$12,MATCH($A281,Fixtures_Results!$A$2:$A$12,0),MATCH("BatTeam"&amp;2*1/$B281,Fixtures_Results!$E$1:$F$1,0)),"")</f>
        <v/>
      </c>
      <c r="E281" s="6"/>
      <c r="F281" s="11"/>
      <c r="G281" s="11"/>
      <c r="H281" s="11"/>
      <c r="I281" s="11"/>
      <c r="J281" s="6"/>
      <c r="K281" s="11"/>
      <c r="L281" s="11"/>
      <c r="N281" s="4" t="str">
        <f t="array" ref="N281">iferror(transpose(INDIRECT(SUBSTITUTE($C281," ","_"))),"")</f>
        <v/>
      </c>
      <c r="Z281" s="4" t="str">
        <f t="array" ref="Z281">iferror(transpose(INDIRECT(SUBSTITUTE($D281," ","_"))),"")</f>
        <v/>
      </c>
    </row>
    <row r="282" ht="15.75" customHeight="1">
      <c r="A282" s="11"/>
      <c r="B282" s="11"/>
      <c r="C282" s="4" t="str">
        <f t="array" ref="C282">iferror(INDEX(Fixtures_Results!$E$2:$F$12,MATCH($A282,Fixtures_Results!$A$2:$A$12,0),MATCH("BatTeam"&amp;$B282,Fixtures_Results!$E$1:$F$1,0)),"")</f>
        <v/>
      </c>
      <c r="D282" s="4" t="str">
        <f t="array" ref="D282">iferror(INDEX(Fixtures_Results!$E$2:$F$12,MATCH($A282,Fixtures_Results!$A$2:$A$12,0),MATCH("BatTeam"&amp;2*1/$B282,Fixtures_Results!$E$1:$F$1,0)),"")</f>
        <v/>
      </c>
      <c r="E282" s="6"/>
      <c r="F282" s="11"/>
      <c r="G282" s="11"/>
      <c r="H282" s="11"/>
      <c r="I282" s="11"/>
      <c r="J282" s="6"/>
      <c r="K282" s="11"/>
      <c r="L282" s="11"/>
      <c r="N282" s="4" t="str">
        <f t="array" ref="N282">iferror(transpose(INDIRECT(SUBSTITUTE($C282," ","_"))),"")</f>
        <v/>
      </c>
      <c r="Z282" s="4" t="str">
        <f t="array" ref="Z282">iferror(transpose(INDIRECT(SUBSTITUTE($D282," ","_"))),"")</f>
        <v/>
      </c>
    </row>
    <row r="283" ht="15.75" customHeight="1">
      <c r="A283" s="11"/>
      <c r="B283" s="11"/>
      <c r="C283" s="4" t="str">
        <f t="array" ref="C283">iferror(INDEX(Fixtures_Results!$E$2:$F$12,MATCH($A283,Fixtures_Results!$A$2:$A$12,0),MATCH("BatTeam"&amp;$B283,Fixtures_Results!$E$1:$F$1,0)),"")</f>
        <v/>
      </c>
      <c r="D283" s="4" t="str">
        <f t="array" ref="D283">iferror(INDEX(Fixtures_Results!$E$2:$F$12,MATCH($A283,Fixtures_Results!$A$2:$A$12,0),MATCH("BatTeam"&amp;2*1/$B283,Fixtures_Results!$E$1:$F$1,0)),"")</f>
        <v/>
      </c>
      <c r="E283" s="6"/>
      <c r="F283" s="11"/>
      <c r="G283" s="11"/>
      <c r="H283" s="11"/>
      <c r="I283" s="11"/>
      <c r="J283" s="6"/>
      <c r="K283" s="11"/>
      <c r="L283" s="11"/>
      <c r="N283" s="4" t="str">
        <f t="array" ref="N283">iferror(transpose(INDIRECT(SUBSTITUTE($C283," ","_"))),"")</f>
        <v/>
      </c>
      <c r="Z283" s="4" t="str">
        <f t="array" ref="Z283">iferror(transpose(INDIRECT(SUBSTITUTE($D283," ","_"))),"")</f>
        <v/>
      </c>
    </row>
    <row r="284" ht="15.75" customHeight="1">
      <c r="A284" s="11"/>
      <c r="B284" s="11"/>
      <c r="C284" s="4" t="str">
        <f t="array" ref="C284">iferror(INDEX(Fixtures_Results!$E$2:$F$12,MATCH($A284,Fixtures_Results!$A$2:$A$12,0),MATCH("BatTeam"&amp;$B284,Fixtures_Results!$E$1:$F$1,0)),"")</f>
        <v/>
      </c>
      <c r="D284" s="4" t="str">
        <f t="array" ref="D284">iferror(INDEX(Fixtures_Results!$E$2:$F$12,MATCH($A284,Fixtures_Results!$A$2:$A$12,0),MATCH("BatTeam"&amp;2*1/$B284,Fixtures_Results!$E$1:$F$1,0)),"")</f>
        <v/>
      </c>
      <c r="E284" s="6"/>
      <c r="F284" s="11"/>
      <c r="G284" s="11"/>
      <c r="H284" s="11"/>
      <c r="I284" s="11"/>
      <c r="J284" s="6"/>
      <c r="K284" s="11"/>
      <c r="L284" s="11"/>
      <c r="N284" s="4" t="str">
        <f t="array" ref="N284">iferror(transpose(INDIRECT(SUBSTITUTE($C284," ","_"))),"")</f>
        <v/>
      </c>
      <c r="Z284" s="4" t="str">
        <f t="array" ref="Z284">iferror(transpose(INDIRECT(SUBSTITUTE($D284," ","_"))),"")</f>
        <v/>
      </c>
    </row>
    <row r="285" ht="15.75" customHeight="1">
      <c r="A285" s="11"/>
      <c r="B285" s="11"/>
      <c r="C285" s="4" t="str">
        <f t="array" ref="C285">iferror(INDEX(Fixtures_Results!$E$2:$F$12,MATCH($A285,Fixtures_Results!$A$2:$A$12,0),MATCH("BatTeam"&amp;$B285,Fixtures_Results!$E$1:$F$1,0)),"")</f>
        <v/>
      </c>
      <c r="D285" s="4" t="str">
        <f t="array" ref="D285">iferror(INDEX(Fixtures_Results!$E$2:$F$12,MATCH($A285,Fixtures_Results!$A$2:$A$12,0),MATCH("BatTeam"&amp;2*1/$B285,Fixtures_Results!$E$1:$F$1,0)),"")</f>
        <v/>
      </c>
      <c r="E285" s="6"/>
      <c r="F285" s="11"/>
      <c r="G285" s="11"/>
      <c r="H285" s="11"/>
      <c r="I285" s="11"/>
      <c r="J285" s="6"/>
      <c r="K285" s="11"/>
      <c r="L285" s="11"/>
      <c r="N285" s="4" t="str">
        <f t="array" ref="N285">iferror(transpose(INDIRECT(SUBSTITUTE($C285," ","_"))),"")</f>
        <v/>
      </c>
      <c r="Z285" s="4" t="str">
        <f t="array" ref="Z285">iferror(transpose(INDIRECT(SUBSTITUTE($D285," ","_"))),"")</f>
        <v/>
      </c>
    </row>
    <row r="286" ht="15.75" customHeight="1">
      <c r="A286" s="11"/>
      <c r="B286" s="11"/>
      <c r="C286" s="4" t="str">
        <f t="array" ref="C286">iferror(INDEX(Fixtures_Results!$E$2:$F$12,MATCH($A286,Fixtures_Results!$A$2:$A$12,0),MATCH("BatTeam"&amp;$B286,Fixtures_Results!$E$1:$F$1,0)),"")</f>
        <v/>
      </c>
      <c r="D286" s="4" t="str">
        <f t="array" ref="D286">iferror(INDEX(Fixtures_Results!$E$2:$F$12,MATCH($A286,Fixtures_Results!$A$2:$A$12,0),MATCH("BatTeam"&amp;2*1/$B286,Fixtures_Results!$E$1:$F$1,0)),"")</f>
        <v/>
      </c>
      <c r="E286" s="6"/>
      <c r="F286" s="11"/>
      <c r="G286" s="11"/>
      <c r="H286" s="11"/>
      <c r="I286" s="11"/>
      <c r="J286" s="6"/>
      <c r="K286" s="11"/>
      <c r="L286" s="11"/>
      <c r="N286" s="4" t="str">
        <f t="array" ref="N286">iferror(transpose(INDIRECT(SUBSTITUTE($C286," ","_"))),"")</f>
        <v/>
      </c>
      <c r="Z286" s="4" t="str">
        <f t="array" ref="Z286">iferror(transpose(INDIRECT(SUBSTITUTE($D286," ","_"))),"")</f>
        <v/>
      </c>
    </row>
    <row r="287" ht="15.75" customHeight="1">
      <c r="A287" s="11"/>
      <c r="B287" s="11"/>
      <c r="C287" s="4" t="str">
        <f t="array" ref="C287">iferror(INDEX(Fixtures_Results!$E$2:$F$12,MATCH($A287,Fixtures_Results!$A$2:$A$12,0),MATCH("BatTeam"&amp;$B287,Fixtures_Results!$E$1:$F$1,0)),"")</f>
        <v/>
      </c>
      <c r="D287" s="4" t="str">
        <f t="array" ref="D287">iferror(INDEX(Fixtures_Results!$E$2:$F$12,MATCH($A287,Fixtures_Results!$A$2:$A$12,0),MATCH("BatTeam"&amp;2*1/$B287,Fixtures_Results!$E$1:$F$1,0)),"")</f>
        <v/>
      </c>
      <c r="E287" s="6"/>
      <c r="F287" s="11"/>
      <c r="G287" s="11"/>
      <c r="H287" s="11"/>
      <c r="I287" s="11"/>
      <c r="J287" s="6"/>
      <c r="K287" s="11"/>
      <c r="L287" s="11"/>
      <c r="N287" s="4" t="str">
        <f t="array" ref="N287">iferror(transpose(INDIRECT(SUBSTITUTE($C287," ","_"))),"")</f>
        <v/>
      </c>
      <c r="Z287" s="4" t="str">
        <f t="array" ref="Z287">iferror(transpose(INDIRECT(SUBSTITUTE($D287," ","_"))),"")</f>
        <v/>
      </c>
    </row>
    <row r="288" ht="15.75" customHeight="1">
      <c r="A288" s="11"/>
      <c r="B288" s="11"/>
      <c r="C288" s="4" t="str">
        <f t="array" ref="C288">iferror(INDEX(Fixtures_Results!$E$2:$F$12,MATCH($A288,Fixtures_Results!$A$2:$A$12,0),MATCH("BatTeam"&amp;$B288,Fixtures_Results!$E$1:$F$1,0)),"")</f>
        <v/>
      </c>
      <c r="D288" s="4" t="str">
        <f t="array" ref="D288">iferror(INDEX(Fixtures_Results!$E$2:$F$12,MATCH($A288,Fixtures_Results!$A$2:$A$12,0),MATCH("BatTeam"&amp;2*1/$B288,Fixtures_Results!$E$1:$F$1,0)),"")</f>
        <v/>
      </c>
      <c r="E288" s="6"/>
      <c r="F288" s="11"/>
      <c r="G288" s="11"/>
      <c r="H288" s="11"/>
      <c r="I288" s="11"/>
      <c r="J288" s="6"/>
      <c r="K288" s="11"/>
      <c r="L288" s="11"/>
      <c r="N288" s="4" t="str">
        <f t="array" ref="N288">iferror(transpose(INDIRECT(SUBSTITUTE($C288," ","_"))),"")</f>
        <v/>
      </c>
      <c r="Z288" s="4" t="str">
        <f t="array" ref="Z288">iferror(transpose(INDIRECT(SUBSTITUTE($D288," ","_"))),"")</f>
        <v/>
      </c>
    </row>
    <row r="289" ht="15.75" customHeight="1">
      <c r="A289" s="11"/>
      <c r="B289" s="11"/>
      <c r="C289" s="4" t="str">
        <f t="array" ref="C289">iferror(INDEX(Fixtures_Results!$E$2:$F$12,MATCH($A289,Fixtures_Results!$A$2:$A$12,0),MATCH("BatTeam"&amp;$B289,Fixtures_Results!$E$1:$F$1,0)),"")</f>
        <v/>
      </c>
      <c r="D289" s="4" t="str">
        <f t="array" ref="D289">iferror(INDEX(Fixtures_Results!$E$2:$F$12,MATCH($A289,Fixtures_Results!$A$2:$A$12,0),MATCH("BatTeam"&amp;2*1/$B289,Fixtures_Results!$E$1:$F$1,0)),"")</f>
        <v/>
      </c>
      <c r="E289" s="6"/>
      <c r="F289" s="11"/>
      <c r="G289" s="11"/>
      <c r="H289" s="11"/>
      <c r="I289" s="11"/>
      <c r="J289" s="6"/>
      <c r="K289" s="11"/>
      <c r="L289" s="11"/>
      <c r="N289" s="4" t="str">
        <f t="array" ref="N289">iferror(transpose(INDIRECT(SUBSTITUTE($C289," ","_"))),"")</f>
        <v/>
      </c>
      <c r="Z289" s="4" t="str">
        <f t="array" ref="Z289">iferror(transpose(INDIRECT(SUBSTITUTE($D289," ","_"))),"")</f>
        <v/>
      </c>
    </row>
    <row r="290" ht="15.75" customHeight="1">
      <c r="A290" s="11"/>
      <c r="B290" s="11"/>
      <c r="C290" s="4" t="str">
        <f t="array" ref="C290">iferror(INDEX(Fixtures_Results!$E$2:$F$12,MATCH($A290,Fixtures_Results!$A$2:$A$12,0),MATCH("BatTeam"&amp;$B290,Fixtures_Results!$E$1:$F$1,0)),"")</f>
        <v/>
      </c>
      <c r="D290" s="4" t="str">
        <f t="array" ref="D290">iferror(INDEX(Fixtures_Results!$E$2:$F$12,MATCH($A290,Fixtures_Results!$A$2:$A$12,0),MATCH("BatTeam"&amp;2*1/$B290,Fixtures_Results!$E$1:$F$1,0)),"")</f>
        <v/>
      </c>
      <c r="E290" s="6"/>
      <c r="F290" s="11"/>
      <c r="G290" s="11"/>
      <c r="H290" s="11"/>
      <c r="I290" s="11"/>
      <c r="J290" s="6"/>
      <c r="K290" s="11"/>
      <c r="L290" s="11"/>
      <c r="N290" s="4" t="str">
        <f t="array" ref="N290">iferror(transpose(INDIRECT(SUBSTITUTE($C290," ","_"))),"")</f>
        <v/>
      </c>
      <c r="Z290" s="4" t="str">
        <f t="array" ref="Z290">iferror(transpose(INDIRECT(SUBSTITUTE($D290," ","_"))),"")</f>
        <v/>
      </c>
    </row>
    <row r="291" ht="15.75" customHeight="1">
      <c r="A291" s="11"/>
      <c r="B291" s="11"/>
      <c r="C291" s="4" t="str">
        <f t="array" ref="C291">iferror(INDEX(Fixtures_Results!$E$2:$F$12,MATCH($A291,Fixtures_Results!$A$2:$A$12,0),MATCH("BatTeam"&amp;$B291,Fixtures_Results!$E$1:$F$1,0)),"")</f>
        <v/>
      </c>
      <c r="D291" s="4" t="str">
        <f t="array" ref="D291">iferror(INDEX(Fixtures_Results!$E$2:$F$12,MATCH($A291,Fixtures_Results!$A$2:$A$12,0),MATCH("BatTeam"&amp;2*1/$B291,Fixtures_Results!$E$1:$F$1,0)),"")</f>
        <v/>
      </c>
      <c r="E291" s="6"/>
      <c r="F291" s="11"/>
      <c r="G291" s="11"/>
      <c r="H291" s="11"/>
      <c r="I291" s="11"/>
      <c r="J291" s="6"/>
      <c r="K291" s="11"/>
      <c r="L291" s="11"/>
      <c r="N291" s="4" t="str">
        <f t="array" ref="N291">iferror(transpose(INDIRECT(SUBSTITUTE($C291," ","_"))),"")</f>
        <v/>
      </c>
      <c r="Z291" s="4" t="str">
        <f t="array" ref="Z291">iferror(transpose(INDIRECT(SUBSTITUTE($D291," ","_"))),"")</f>
        <v/>
      </c>
    </row>
    <row r="292" ht="15.75" customHeight="1">
      <c r="A292" s="11"/>
      <c r="B292" s="11"/>
      <c r="C292" s="4" t="str">
        <f t="array" ref="C292">iferror(INDEX(Fixtures_Results!$E$2:$F$12,MATCH($A292,Fixtures_Results!$A$2:$A$12,0),MATCH("BatTeam"&amp;$B292,Fixtures_Results!$E$1:$F$1,0)),"")</f>
        <v/>
      </c>
      <c r="D292" s="4" t="str">
        <f t="array" ref="D292">iferror(INDEX(Fixtures_Results!$E$2:$F$12,MATCH($A292,Fixtures_Results!$A$2:$A$12,0),MATCH("BatTeam"&amp;2*1/$B292,Fixtures_Results!$E$1:$F$1,0)),"")</f>
        <v/>
      </c>
      <c r="E292" s="6"/>
      <c r="F292" s="11"/>
      <c r="G292" s="11"/>
      <c r="H292" s="11"/>
      <c r="I292" s="11"/>
      <c r="J292" s="6"/>
      <c r="K292" s="11"/>
      <c r="L292" s="11"/>
      <c r="N292" s="4" t="str">
        <f t="array" ref="N292">iferror(transpose(INDIRECT(SUBSTITUTE($C292," ","_"))),"")</f>
        <v/>
      </c>
      <c r="Z292" s="4" t="str">
        <f t="array" ref="Z292">iferror(transpose(INDIRECT(SUBSTITUTE($D292," ","_"))),"")</f>
        <v/>
      </c>
    </row>
    <row r="293" ht="15.75" customHeight="1">
      <c r="A293" s="11"/>
      <c r="B293" s="11"/>
      <c r="C293" s="4" t="str">
        <f t="array" ref="C293">iferror(INDEX(Fixtures_Results!$E$2:$F$12,MATCH($A293,Fixtures_Results!$A$2:$A$12,0),MATCH("BatTeam"&amp;$B293,Fixtures_Results!$E$1:$F$1,0)),"")</f>
        <v/>
      </c>
      <c r="D293" s="4" t="str">
        <f t="array" ref="D293">iferror(INDEX(Fixtures_Results!$E$2:$F$12,MATCH($A293,Fixtures_Results!$A$2:$A$12,0),MATCH("BatTeam"&amp;2*1/$B293,Fixtures_Results!$E$1:$F$1,0)),"")</f>
        <v/>
      </c>
      <c r="E293" s="6"/>
      <c r="F293" s="11"/>
      <c r="G293" s="11"/>
      <c r="H293" s="11"/>
      <c r="I293" s="11"/>
      <c r="J293" s="6"/>
      <c r="K293" s="11"/>
      <c r="L293" s="11"/>
      <c r="N293" s="4" t="str">
        <f t="array" ref="N293">iferror(transpose(INDIRECT(SUBSTITUTE($C293," ","_"))),"")</f>
        <v/>
      </c>
      <c r="Z293" s="4" t="str">
        <f t="array" ref="Z293">iferror(transpose(INDIRECT(SUBSTITUTE($D293," ","_"))),"")</f>
        <v/>
      </c>
    </row>
    <row r="294" ht="15.75" customHeight="1">
      <c r="A294" s="11"/>
      <c r="B294" s="11"/>
      <c r="C294" s="4" t="str">
        <f t="array" ref="C294">iferror(INDEX(Fixtures_Results!$E$2:$F$12,MATCH($A294,Fixtures_Results!$A$2:$A$12,0),MATCH("BatTeam"&amp;$B294,Fixtures_Results!$E$1:$F$1,0)),"")</f>
        <v/>
      </c>
      <c r="D294" s="4" t="str">
        <f t="array" ref="D294">iferror(INDEX(Fixtures_Results!$E$2:$F$12,MATCH($A294,Fixtures_Results!$A$2:$A$12,0),MATCH("BatTeam"&amp;2*1/$B294,Fixtures_Results!$E$1:$F$1,0)),"")</f>
        <v/>
      </c>
      <c r="E294" s="6"/>
      <c r="F294" s="11"/>
      <c r="G294" s="11"/>
      <c r="H294" s="11"/>
      <c r="I294" s="11"/>
      <c r="J294" s="6"/>
      <c r="K294" s="11"/>
      <c r="L294" s="11"/>
      <c r="N294" s="4" t="str">
        <f t="array" ref="N294">iferror(transpose(INDIRECT(SUBSTITUTE($C294," ","_"))),"")</f>
        <v/>
      </c>
      <c r="Z294" s="4" t="str">
        <f t="array" ref="Z294">iferror(transpose(INDIRECT(SUBSTITUTE($D294," ","_"))),"")</f>
        <v/>
      </c>
    </row>
    <row r="295" ht="15.75" customHeight="1">
      <c r="A295" s="11"/>
      <c r="B295" s="11"/>
      <c r="C295" s="4" t="str">
        <f t="array" ref="C295">iferror(INDEX(Fixtures_Results!$E$2:$F$12,MATCH($A295,Fixtures_Results!$A$2:$A$12,0),MATCH("BatTeam"&amp;$B295,Fixtures_Results!$E$1:$F$1,0)),"")</f>
        <v/>
      </c>
      <c r="D295" s="4" t="str">
        <f t="array" ref="D295">iferror(INDEX(Fixtures_Results!$E$2:$F$12,MATCH($A295,Fixtures_Results!$A$2:$A$12,0),MATCH("BatTeam"&amp;2*1/$B295,Fixtures_Results!$E$1:$F$1,0)),"")</f>
        <v/>
      </c>
      <c r="E295" s="6"/>
      <c r="F295" s="11"/>
      <c r="G295" s="11"/>
      <c r="H295" s="11"/>
      <c r="I295" s="11"/>
      <c r="J295" s="6"/>
      <c r="K295" s="11"/>
      <c r="L295" s="11"/>
      <c r="N295" s="4" t="str">
        <f t="array" ref="N295">iferror(transpose(INDIRECT(SUBSTITUTE($C295," ","_"))),"")</f>
        <v/>
      </c>
      <c r="Z295" s="4" t="str">
        <f t="array" ref="Z295">iferror(transpose(INDIRECT(SUBSTITUTE($D295," ","_"))),"")</f>
        <v/>
      </c>
    </row>
    <row r="296" ht="15.75" customHeight="1">
      <c r="A296" s="11"/>
      <c r="B296" s="11"/>
      <c r="C296" s="4" t="str">
        <f t="array" ref="C296">iferror(INDEX(Fixtures_Results!$E$2:$F$12,MATCH($A296,Fixtures_Results!$A$2:$A$12,0),MATCH("BatTeam"&amp;$B296,Fixtures_Results!$E$1:$F$1,0)),"")</f>
        <v/>
      </c>
      <c r="D296" s="4" t="str">
        <f t="array" ref="D296">iferror(INDEX(Fixtures_Results!$E$2:$F$12,MATCH($A296,Fixtures_Results!$A$2:$A$12,0),MATCH("BatTeam"&amp;2*1/$B296,Fixtures_Results!$E$1:$F$1,0)),"")</f>
        <v/>
      </c>
      <c r="E296" s="6"/>
      <c r="F296" s="11"/>
      <c r="G296" s="11"/>
      <c r="H296" s="11"/>
      <c r="I296" s="11"/>
      <c r="J296" s="6"/>
      <c r="K296" s="11"/>
      <c r="L296" s="11"/>
      <c r="N296" s="4" t="str">
        <f t="array" ref="N296">iferror(transpose(INDIRECT(SUBSTITUTE($C296," ","_"))),"")</f>
        <v/>
      </c>
      <c r="Z296" s="4" t="str">
        <f t="array" ref="Z296">iferror(transpose(INDIRECT(SUBSTITUTE($D296," ","_"))),"")</f>
        <v/>
      </c>
    </row>
    <row r="297" ht="15.75" customHeight="1">
      <c r="A297" s="11"/>
      <c r="B297" s="11"/>
      <c r="C297" s="4" t="str">
        <f t="array" ref="C297">iferror(INDEX(Fixtures_Results!$E$2:$F$12,MATCH($A297,Fixtures_Results!$A$2:$A$12,0),MATCH("BatTeam"&amp;$B297,Fixtures_Results!$E$1:$F$1,0)),"")</f>
        <v/>
      </c>
      <c r="D297" s="4" t="str">
        <f t="array" ref="D297">iferror(INDEX(Fixtures_Results!$E$2:$F$12,MATCH($A297,Fixtures_Results!$A$2:$A$12,0),MATCH("BatTeam"&amp;2*1/$B297,Fixtures_Results!$E$1:$F$1,0)),"")</f>
        <v/>
      </c>
      <c r="E297" s="6"/>
      <c r="F297" s="11"/>
      <c r="G297" s="11"/>
      <c r="H297" s="11"/>
      <c r="I297" s="11"/>
      <c r="J297" s="6"/>
      <c r="K297" s="11"/>
      <c r="L297" s="11"/>
      <c r="N297" s="4" t="str">
        <f t="array" ref="N297">iferror(transpose(INDIRECT(SUBSTITUTE($C297," ","_"))),"")</f>
        <v/>
      </c>
      <c r="Z297" s="4" t="str">
        <f t="array" ref="Z297">iferror(transpose(INDIRECT(SUBSTITUTE($D297," ","_"))),"")</f>
        <v/>
      </c>
    </row>
    <row r="298" ht="15.75" customHeight="1">
      <c r="A298" s="11"/>
      <c r="B298" s="11"/>
      <c r="C298" s="4" t="str">
        <f t="array" ref="C298">iferror(INDEX(Fixtures_Results!$E$2:$F$12,MATCH($A298,Fixtures_Results!$A$2:$A$12,0),MATCH("BatTeam"&amp;$B298,Fixtures_Results!$E$1:$F$1,0)),"")</f>
        <v/>
      </c>
      <c r="D298" s="4" t="str">
        <f t="array" ref="D298">iferror(INDEX(Fixtures_Results!$E$2:$F$12,MATCH($A298,Fixtures_Results!$A$2:$A$12,0),MATCH("BatTeam"&amp;2*1/$B298,Fixtures_Results!$E$1:$F$1,0)),"")</f>
        <v/>
      </c>
      <c r="E298" s="6"/>
      <c r="F298" s="11"/>
      <c r="G298" s="11"/>
      <c r="H298" s="11"/>
      <c r="I298" s="11"/>
      <c r="J298" s="6"/>
      <c r="K298" s="11"/>
      <c r="L298" s="11"/>
      <c r="N298" s="4" t="str">
        <f t="array" ref="N298">iferror(transpose(INDIRECT(SUBSTITUTE($C298," ","_"))),"")</f>
        <v/>
      </c>
      <c r="Z298" s="4" t="str">
        <f t="array" ref="Z298">iferror(transpose(INDIRECT(SUBSTITUTE($D298," ","_"))),"")</f>
        <v/>
      </c>
    </row>
    <row r="299" ht="15.75" customHeight="1">
      <c r="A299" s="11"/>
      <c r="B299" s="11"/>
      <c r="C299" s="4" t="str">
        <f t="array" ref="C299">iferror(INDEX(Fixtures_Results!$E$2:$F$12,MATCH($A299,Fixtures_Results!$A$2:$A$12,0),MATCH("BatTeam"&amp;$B299,Fixtures_Results!$E$1:$F$1,0)),"")</f>
        <v/>
      </c>
      <c r="D299" s="4" t="str">
        <f t="array" ref="D299">iferror(INDEX(Fixtures_Results!$E$2:$F$12,MATCH($A299,Fixtures_Results!$A$2:$A$12,0),MATCH("BatTeam"&amp;2*1/$B299,Fixtures_Results!$E$1:$F$1,0)),"")</f>
        <v/>
      </c>
      <c r="E299" s="6"/>
      <c r="F299" s="11"/>
      <c r="G299" s="11"/>
      <c r="H299" s="11"/>
      <c r="I299" s="11"/>
      <c r="J299" s="6"/>
      <c r="K299" s="11"/>
      <c r="L299" s="11"/>
      <c r="N299" s="4" t="str">
        <f t="array" ref="N299">iferror(transpose(INDIRECT(SUBSTITUTE($C299," ","_"))),"")</f>
        <v/>
      </c>
      <c r="Z299" s="4" t="str">
        <f t="array" ref="Z299">iferror(transpose(INDIRECT(SUBSTITUTE($D299," ","_"))),"")</f>
        <v/>
      </c>
    </row>
    <row r="300" ht="15.75" customHeight="1">
      <c r="A300" s="11"/>
      <c r="B300" s="11"/>
      <c r="C300" s="4" t="str">
        <f t="array" ref="C300">iferror(INDEX(Fixtures_Results!$E$2:$F$12,MATCH($A300,Fixtures_Results!$A$2:$A$12,0),MATCH("BatTeam"&amp;$B300,Fixtures_Results!$E$1:$F$1,0)),"")</f>
        <v/>
      </c>
      <c r="D300" s="4" t="str">
        <f t="array" ref="D300">iferror(INDEX(Fixtures_Results!$E$2:$F$12,MATCH($A300,Fixtures_Results!$A$2:$A$12,0),MATCH("BatTeam"&amp;2*1/$B300,Fixtures_Results!$E$1:$F$1,0)),"")</f>
        <v/>
      </c>
      <c r="E300" s="6"/>
      <c r="F300" s="11"/>
      <c r="G300" s="11"/>
      <c r="H300" s="11"/>
      <c r="I300" s="11"/>
      <c r="J300" s="6"/>
      <c r="K300" s="11"/>
      <c r="L300" s="11"/>
      <c r="N300" s="4" t="str">
        <f t="array" ref="N300">iferror(transpose(INDIRECT(SUBSTITUTE($C300," ","_"))),"")</f>
        <v/>
      </c>
      <c r="Z300" s="4" t="str">
        <f t="array" ref="Z300">iferror(transpose(INDIRECT(SUBSTITUTE($D300," ","_"))),"")</f>
        <v/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300">
      <formula1>"1,2,3,4,5,6,7,8,9,10,11,12"</formula1>
    </dataValidation>
    <dataValidation type="list" allowBlank="1" sqref="J2:J300">
      <formula1>"not out,b,ct,lbw,run out,st,hw"</formula1>
    </dataValidation>
    <dataValidation type="list" allowBlank="1" showErrorMessage="1" sqref="K2:L300">
      <formula1>Batting!Z2:AG2</formula1>
    </dataValidation>
    <dataValidation type="list" allowBlank="1" showErrorMessage="1" sqref="E2:E300">
      <formula1>Batting!N2:T2</formula1>
    </dataValidation>
    <dataValidation type="list" allowBlank="1" showErrorMessage="1" sqref="B2:B300">
      <formula1>"1,2"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22.86"/>
    <col customWidth="1" min="4" max="4" width="16.0"/>
    <col customWidth="1" min="5" max="5" width="8.0"/>
    <col customWidth="1" min="6" max="6" width="9.0"/>
    <col customWidth="1" min="7" max="7" width="8.0"/>
    <col customWidth="1" min="8" max="8" width="9.0"/>
    <col customWidth="1" min="9" max="12" width="8.71"/>
    <col customWidth="1" hidden="1" min="13" max="19" width="8.71"/>
    <col customWidth="1" min="20" max="27" width="8.71"/>
  </cols>
  <sheetData>
    <row r="1">
      <c r="A1" s="1" t="s">
        <v>1</v>
      </c>
      <c r="B1" s="5" t="s">
        <v>2</v>
      </c>
      <c r="C1" s="5" t="s">
        <v>32</v>
      </c>
      <c r="D1" s="5" t="s">
        <v>34</v>
      </c>
      <c r="E1" s="1" t="s">
        <v>36</v>
      </c>
      <c r="F1" s="1" t="s">
        <v>39</v>
      </c>
      <c r="G1" s="1" t="s">
        <v>38</v>
      </c>
      <c r="H1" s="1" t="s">
        <v>43</v>
      </c>
    </row>
    <row r="2">
      <c r="A2" s="8">
        <v>1.0</v>
      </c>
      <c r="B2" s="8">
        <v>1.0</v>
      </c>
      <c r="C2" s="4" t="str">
        <f t="array" ref="C2">iferror(INDEX(Fixtures_Results!$E$2:$F$12,MATCH($A2,Fixtures_Results!$A$2:$A$12,0),MATCH("BatTeam"&amp;2*1/$B2,Fixtures_Results!$E$1:$F$1,0)),"")</f>
        <v>Take Em Deep</v>
      </c>
      <c r="D2" s="8" t="s">
        <v>79</v>
      </c>
      <c r="E2" s="8">
        <v>1.0</v>
      </c>
      <c r="F2" s="6">
        <v>0.0</v>
      </c>
      <c r="G2" s="6">
        <v>24.0</v>
      </c>
      <c r="H2" s="6">
        <v>2.0</v>
      </c>
      <c r="M2" s="4" t="str">
        <f t="array" ref="M2:V2">iferror(transpose(INDIRECT(SUBSTITUTE($C2," ","_"))),"")</f>
        <v>Deep</v>
      </c>
      <c r="N2" s="12" t="s">
        <v>80</v>
      </c>
      <c r="O2" s="12" t="s">
        <v>81</v>
      </c>
      <c r="P2" s="12" t="s">
        <v>82</v>
      </c>
      <c r="Q2" s="12" t="s">
        <v>83</v>
      </c>
      <c r="R2" s="12" t="s">
        <v>84</v>
      </c>
      <c r="S2" s="12" t="s">
        <v>85</v>
      </c>
      <c r="T2" s="12"/>
      <c r="U2" s="12"/>
      <c r="V2" s="12"/>
    </row>
    <row r="3">
      <c r="A3" s="8">
        <v>1.0</v>
      </c>
      <c r="B3" s="8">
        <v>2.0</v>
      </c>
      <c r="C3" s="4" t="str">
        <f t="array" ref="C3">iferror(INDEX(Fixtures_Results!$E$2:$F$12,MATCH($A3,Fixtures_Results!$A$2:$A$12,0),MATCH("BatTeam"&amp;2*1/$B3,Fixtures_Results!$E$1:$F$1,0)),"")</f>
        <v>Crabtree CC</v>
      </c>
      <c r="D3" s="8" t="s">
        <v>62</v>
      </c>
      <c r="E3" s="10">
        <v>1.0</v>
      </c>
      <c r="F3" s="10">
        <v>0.0</v>
      </c>
      <c r="G3" s="10">
        <v>5.0</v>
      </c>
      <c r="H3" s="10">
        <v>4.0</v>
      </c>
      <c r="M3" s="4" t="str">
        <f t="array" ref="M3:V3">iferror(transpose(INDIRECT(SUBSTITUTE($C3," ","_"))),"")</f>
        <v>Suhas</v>
      </c>
      <c r="N3" s="12" t="s">
        <v>62</v>
      </c>
      <c r="O3" s="12" t="s">
        <v>63</v>
      </c>
      <c r="P3" s="12" t="s">
        <v>64</v>
      </c>
      <c r="Q3" s="12" t="s">
        <v>65</v>
      </c>
      <c r="R3" s="12" t="s">
        <v>66</v>
      </c>
      <c r="S3" s="12" t="s">
        <v>67</v>
      </c>
      <c r="T3" s="12"/>
      <c r="U3" s="12"/>
      <c r="V3" s="12"/>
    </row>
    <row r="4">
      <c r="A4" s="8">
        <v>3.0</v>
      </c>
      <c r="B4" s="8">
        <v>1.0</v>
      </c>
      <c r="C4" s="4" t="str">
        <f t="array" ref="C4">iferror(INDEX(Fixtures_Results!$E$2:$F$12,MATCH($A4,Fixtures_Results!$A$2:$A$12,0),MATCH("BatTeam"&amp;2*1/$B4,Fixtures_Results!$E$1:$F$1,0)),"")</f>
        <v>Mumbai Indians Imperial</v>
      </c>
      <c r="D4" s="8" t="s">
        <v>69</v>
      </c>
      <c r="E4" s="11"/>
      <c r="F4" s="11"/>
      <c r="G4" s="11"/>
      <c r="H4" s="11"/>
      <c r="M4" s="4" t="str">
        <f t="array" ref="M4:V4">iferror(transpose(INDIRECT(SUBSTITUTE($C4," ","_"))),"")</f>
        <v>James H</v>
      </c>
      <c r="N4" s="12" t="s">
        <v>71</v>
      </c>
      <c r="O4" s="12" t="s">
        <v>72</v>
      </c>
      <c r="P4" s="12" t="s">
        <v>73</v>
      </c>
      <c r="Q4" s="12" t="s">
        <v>74</v>
      </c>
      <c r="R4" s="12" t="s">
        <v>75</v>
      </c>
      <c r="S4" s="12"/>
      <c r="T4" s="12"/>
      <c r="U4" s="12"/>
      <c r="V4" s="12"/>
    </row>
    <row r="5">
      <c r="A5" s="6"/>
      <c r="B5" s="8"/>
      <c r="C5" s="4" t="str">
        <f t="array" ref="C5">iferror(INDEX(Fixtures_Results!$E$2:$F$12,MATCH($A5,Fixtures_Results!$A$2:$A$12,0),MATCH("BatTeam"&amp;2*1/$B5,Fixtures_Results!$E$1:$F$1,0)),"")</f>
        <v/>
      </c>
      <c r="D5" s="6"/>
      <c r="E5" s="11"/>
      <c r="F5" s="11"/>
      <c r="G5" s="11"/>
      <c r="H5" s="11"/>
      <c r="M5" s="4" t="str">
        <f t="array" ref="M5">iferror(transpose(INDIRECT(SUBSTITUTE($C5," ","_"))),"")</f>
        <v/>
      </c>
    </row>
    <row r="6">
      <c r="A6" s="6"/>
      <c r="B6" s="8"/>
      <c r="C6" s="4" t="str">
        <f t="array" ref="C6">iferror(INDEX(Fixtures_Results!$E$2:$F$12,MATCH($A6,Fixtures_Results!$A$2:$A$12,0),MATCH("BatTeam"&amp;2*1/$B6,Fixtures_Results!$E$1:$F$1,0)),"")</f>
        <v/>
      </c>
      <c r="D6" s="6"/>
      <c r="E6" s="11"/>
      <c r="F6" s="11"/>
      <c r="G6" s="11"/>
      <c r="H6" s="11"/>
      <c r="M6" s="4" t="str">
        <f t="array" ref="M6">iferror(transpose(INDIRECT(SUBSTITUTE($C6," ","_"))),"")</f>
        <v/>
      </c>
    </row>
    <row r="7">
      <c r="A7" s="6"/>
      <c r="B7" s="8"/>
      <c r="C7" s="4" t="str">
        <f t="array" ref="C7">iferror(INDEX(Fixtures_Results!$E$2:$F$12,MATCH($A7,Fixtures_Results!$A$2:$A$12,0),MATCH("BatTeam"&amp;2*1/$B7,Fixtures_Results!$E$1:$F$1,0)),"")</f>
        <v/>
      </c>
      <c r="D7" s="6"/>
      <c r="E7" s="11"/>
      <c r="F7" s="11"/>
      <c r="G7" s="11"/>
      <c r="H7" s="11"/>
      <c r="M7" s="4" t="str">
        <f t="array" ref="M7">iferror(transpose(INDIRECT(SUBSTITUTE($C7," ","_"))),"")</f>
        <v/>
      </c>
    </row>
    <row r="8">
      <c r="A8" s="6"/>
      <c r="B8" s="8"/>
      <c r="C8" s="4" t="str">
        <f t="array" ref="C8">iferror(INDEX(Fixtures_Results!$E$2:$F$12,MATCH($A8,Fixtures_Results!$A$2:$A$12,0),MATCH("BatTeam"&amp;2*1/$B8,Fixtures_Results!$E$1:$F$1,0)),"")</f>
        <v/>
      </c>
      <c r="D8" s="6"/>
      <c r="E8" s="11"/>
      <c r="F8" s="11"/>
      <c r="G8" s="11"/>
      <c r="H8" s="11"/>
      <c r="M8" s="4" t="str">
        <f t="array" ref="M8">iferror(transpose(INDIRECT(SUBSTITUTE($C8," ","_"))),"")</f>
        <v/>
      </c>
    </row>
    <row r="9">
      <c r="A9" s="6"/>
      <c r="B9" s="8"/>
      <c r="C9" s="4" t="str">
        <f t="array" ref="C9">iferror(INDEX(Fixtures_Results!$E$2:$F$12,MATCH($A9,Fixtures_Results!$A$2:$A$12,0),MATCH("BatTeam"&amp;2*1/$B9,Fixtures_Results!$E$1:$F$1,0)),"")</f>
        <v/>
      </c>
      <c r="D9" s="6"/>
      <c r="E9" s="11"/>
      <c r="F9" s="11"/>
      <c r="G9" s="11"/>
      <c r="H9" s="11"/>
      <c r="M9" s="4" t="str">
        <f t="array" ref="M9">iferror(transpose(INDIRECT(SUBSTITUTE($C9," ","_"))),"")</f>
        <v/>
      </c>
    </row>
    <row r="10">
      <c r="A10" s="6"/>
      <c r="B10" s="8"/>
      <c r="C10" s="4" t="str">
        <f t="array" ref="C10">iferror(INDEX(Fixtures_Results!$E$2:$F$12,MATCH($A10,Fixtures_Results!$A$2:$A$12,0),MATCH("BatTeam"&amp;2*1/$B10,Fixtures_Results!$E$1:$F$1,0)),"")</f>
        <v/>
      </c>
      <c r="D10" s="6"/>
      <c r="E10" s="11"/>
      <c r="F10" s="11"/>
      <c r="G10" s="11"/>
      <c r="H10" s="11"/>
      <c r="M10" s="4" t="str">
        <f t="array" ref="M10">iferror(transpose(INDIRECT(SUBSTITUTE($C10," ","_"))),"")</f>
        <v/>
      </c>
    </row>
    <row r="11">
      <c r="A11" s="6"/>
      <c r="B11" s="8"/>
      <c r="C11" s="4" t="str">
        <f t="array" ref="C11">iferror(INDEX(Fixtures_Results!$E$2:$F$12,MATCH($A11,Fixtures_Results!$A$2:$A$12,0),MATCH("BatTeam"&amp;2*1/$B11,Fixtures_Results!$E$1:$F$1,0)),"")</f>
        <v/>
      </c>
      <c r="D11" s="6"/>
      <c r="E11" s="11"/>
      <c r="F11" s="11"/>
      <c r="G11" s="11"/>
      <c r="H11" s="11"/>
      <c r="M11" s="4" t="str">
        <f t="array" ref="M11">iferror(transpose(INDIRECT(SUBSTITUTE($C11," ","_"))),"")</f>
        <v/>
      </c>
    </row>
    <row r="12">
      <c r="A12" s="6"/>
      <c r="B12" s="8"/>
      <c r="C12" s="4" t="str">
        <f t="array" ref="C12">iferror(INDEX(Fixtures_Results!$E$2:$F$12,MATCH($A12,Fixtures_Results!$A$2:$A$12,0),MATCH("BatTeam"&amp;2*1/$B12,Fixtures_Results!$E$1:$F$1,0)),"")</f>
        <v/>
      </c>
      <c r="D12" s="6"/>
      <c r="E12" s="11"/>
      <c r="F12" s="11"/>
      <c r="G12" s="11"/>
      <c r="H12" s="11"/>
      <c r="M12" s="4" t="str">
        <f t="array" ref="M12">iferror(transpose(INDIRECT(SUBSTITUTE($C12," ","_"))),"")</f>
        <v/>
      </c>
    </row>
    <row r="13">
      <c r="A13" s="6"/>
      <c r="B13" s="8"/>
      <c r="C13" s="4" t="str">
        <f t="array" ref="C13">iferror(INDEX(Fixtures_Results!$E$2:$F$12,MATCH($A13,Fixtures_Results!$A$2:$A$12,0),MATCH("BatTeam"&amp;2*1/$B13,Fixtures_Results!$E$1:$F$1,0)),"")</f>
        <v/>
      </c>
      <c r="D13" s="6"/>
      <c r="E13" s="11"/>
      <c r="F13" s="11"/>
      <c r="G13" s="11"/>
      <c r="H13" s="11"/>
      <c r="M13" s="4" t="str">
        <f t="array" ref="M13">iferror(transpose(INDIRECT(SUBSTITUTE($C13," ","_"))),"")</f>
        <v/>
      </c>
    </row>
    <row r="14">
      <c r="A14" s="6"/>
      <c r="B14" s="8"/>
      <c r="C14" s="4" t="str">
        <f t="array" ref="C14">iferror(INDEX(Fixtures_Results!$E$2:$F$12,MATCH($A14,Fixtures_Results!$A$2:$A$12,0),MATCH("BatTeam"&amp;2*1/$B14,Fixtures_Results!$E$1:$F$1,0)),"")</f>
        <v/>
      </c>
      <c r="D14" s="6"/>
      <c r="E14" s="11"/>
      <c r="F14" s="11"/>
      <c r="G14" s="11"/>
      <c r="H14" s="11"/>
      <c r="M14" s="4" t="str">
        <f t="array" ref="M14">iferror(transpose(INDIRECT(SUBSTITUTE($C14," ","_"))),"")</f>
        <v/>
      </c>
    </row>
    <row r="15">
      <c r="A15" s="6"/>
      <c r="B15" s="8"/>
      <c r="C15" s="4" t="str">
        <f t="array" ref="C15">iferror(INDEX(Fixtures_Results!$E$2:$F$12,MATCH($A15,Fixtures_Results!$A$2:$A$12,0),MATCH("BatTeam"&amp;2*1/$B15,Fixtures_Results!$E$1:$F$1,0)),"")</f>
        <v/>
      </c>
      <c r="D15" s="6"/>
      <c r="E15" s="11"/>
      <c r="F15" s="11"/>
      <c r="G15" s="11"/>
      <c r="H15" s="11"/>
      <c r="M15" s="4" t="str">
        <f t="array" ref="M15">iferror(transpose(INDIRECT(SUBSTITUTE($C15," ","_"))),"")</f>
        <v/>
      </c>
    </row>
    <row r="16">
      <c r="A16" s="6"/>
      <c r="B16" s="8"/>
      <c r="C16" s="4" t="str">
        <f t="array" ref="C16">iferror(INDEX(Fixtures_Results!$E$2:$F$12,MATCH($A16,Fixtures_Results!$A$2:$A$12,0),MATCH("BatTeam"&amp;2*1/$B16,Fixtures_Results!$E$1:$F$1,0)),"")</f>
        <v/>
      </c>
      <c r="D16" s="6"/>
      <c r="E16" s="11"/>
      <c r="F16" s="11"/>
      <c r="G16" s="11"/>
      <c r="H16" s="11"/>
      <c r="M16" s="4" t="str">
        <f t="array" ref="M16">iferror(transpose(INDIRECT(SUBSTITUTE($C16," ","_"))),"")</f>
        <v/>
      </c>
    </row>
    <row r="17">
      <c r="A17" s="6"/>
      <c r="B17" s="8"/>
      <c r="C17" s="4" t="str">
        <f t="array" ref="C17">iferror(INDEX(Fixtures_Results!$E$2:$F$12,MATCH($A17,Fixtures_Results!$A$2:$A$12,0),MATCH("BatTeam"&amp;2*1/$B17,Fixtures_Results!$E$1:$F$1,0)),"")</f>
        <v/>
      </c>
      <c r="D17" s="6"/>
      <c r="E17" s="11"/>
      <c r="F17" s="11"/>
      <c r="G17" s="11"/>
      <c r="H17" s="11"/>
      <c r="M17" s="4" t="str">
        <f t="array" ref="M17">iferror(transpose(INDIRECT(SUBSTITUTE($C17," ","_"))),"")</f>
        <v/>
      </c>
    </row>
    <row r="18">
      <c r="A18" s="6"/>
      <c r="B18" s="8"/>
      <c r="C18" s="4" t="str">
        <f t="array" ref="C18">iferror(INDEX(Fixtures_Results!$E$2:$F$12,MATCH($A18,Fixtures_Results!$A$2:$A$12,0),MATCH("BatTeam"&amp;2*1/$B18,Fixtures_Results!$E$1:$F$1,0)),"")</f>
        <v/>
      </c>
      <c r="D18" s="6"/>
      <c r="E18" s="11"/>
      <c r="F18" s="11"/>
      <c r="G18" s="11"/>
      <c r="H18" s="11"/>
      <c r="M18" s="4" t="str">
        <f t="array" ref="M18">iferror(transpose(INDIRECT(SUBSTITUTE($C18," ","_"))),"")</f>
        <v/>
      </c>
    </row>
    <row r="19">
      <c r="A19" s="6"/>
      <c r="B19" s="8"/>
      <c r="C19" s="4" t="str">
        <f t="array" ref="C19">iferror(INDEX(Fixtures_Results!$E$2:$F$12,MATCH($A19,Fixtures_Results!$A$2:$A$12,0),MATCH("BatTeam"&amp;2*1/$B19,Fixtures_Results!$E$1:$F$1,0)),"")</f>
        <v/>
      </c>
      <c r="D19" s="6"/>
      <c r="E19" s="11"/>
      <c r="F19" s="11"/>
      <c r="G19" s="11"/>
      <c r="H19" s="11"/>
      <c r="M19" s="4" t="str">
        <f t="array" ref="M19">iferror(transpose(INDIRECT(SUBSTITUTE($C19," ","_"))),"")</f>
        <v/>
      </c>
    </row>
    <row r="20">
      <c r="A20" s="6"/>
      <c r="B20" s="8"/>
      <c r="C20" s="4" t="str">
        <f t="array" ref="C20">iferror(INDEX(Fixtures_Results!$E$2:$F$12,MATCH($A20,Fixtures_Results!$A$2:$A$12,0),MATCH("BatTeam"&amp;2*1/$B20,Fixtures_Results!$E$1:$F$1,0)),"")</f>
        <v/>
      </c>
      <c r="D20" s="6"/>
      <c r="E20" s="11"/>
      <c r="F20" s="11"/>
      <c r="G20" s="11"/>
      <c r="H20" s="11"/>
      <c r="M20" s="4" t="str">
        <f t="array" ref="M20">iferror(transpose(INDIRECT(SUBSTITUTE($C20," ","_"))),"")</f>
        <v/>
      </c>
    </row>
    <row r="21" ht="15.75" customHeight="1">
      <c r="A21" s="6"/>
      <c r="B21" s="8"/>
      <c r="C21" s="4" t="str">
        <f t="array" ref="C21">iferror(INDEX(Fixtures_Results!$E$2:$F$12,MATCH($A21,Fixtures_Results!$A$2:$A$12,0),MATCH("BatTeam"&amp;2*1/$B21,Fixtures_Results!$E$1:$F$1,0)),"")</f>
        <v/>
      </c>
      <c r="D21" s="6"/>
      <c r="E21" s="11"/>
      <c r="F21" s="11"/>
      <c r="G21" s="11"/>
      <c r="H21" s="11"/>
      <c r="M21" s="4" t="str">
        <f t="array" ref="M21">iferror(transpose(INDIRECT(SUBSTITUTE($C21," ","_"))),"")</f>
        <v/>
      </c>
    </row>
    <row r="22" ht="15.75" customHeight="1">
      <c r="A22" s="6"/>
      <c r="B22" s="8"/>
      <c r="C22" s="4" t="str">
        <f t="array" ref="C22">iferror(INDEX(Fixtures_Results!$E$2:$F$12,MATCH($A22,Fixtures_Results!$A$2:$A$12,0),MATCH("BatTeam"&amp;2*1/$B22,Fixtures_Results!$E$1:$F$1,0)),"")</f>
        <v/>
      </c>
      <c r="D22" s="6"/>
      <c r="E22" s="11"/>
      <c r="F22" s="11"/>
      <c r="G22" s="11"/>
      <c r="H22" s="11"/>
      <c r="M22" s="4" t="str">
        <f t="array" ref="M22">iferror(transpose(INDIRECT(SUBSTITUTE($C22," ","_"))),"")</f>
        <v/>
      </c>
    </row>
    <row r="23" ht="15.75" customHeight="1">
      <c r="A23" s="6"/>
      <c r="B23" s="8"/>
      <c r="C23" s="4" t="str">
        <f t="array" ref="C23">iferror(INDEX(Fixtures_Results!$E$2:$F$12,MATCH($A23,Fixtures_Results!$A$2:$A$12,0),MATCH("BatTeam"&amp;2*1/$B23,Fixtures_Results!$E$1:$F$1,0)),"")</f>
        <v/>
      </c>
      <c r="D23" s="6"/>
      <c r="E23" s="11"/>
      <c r="F23" s="11"/>
      <c r="G23" s="11"/>
      <c r="H23" s="11"/>
      <c r="M23" s="4" t="str">
        <f t="array" ref="M23">iferror(transpose(INDIRECT(SUBSTITUTE($C23," ","_"))),"")</f>
        <v/>
      </c>
    </row>
    <row r="24" ht="15.75" customHeight="1">
      <c r="A24" s="6"/>
      <c r="B24" s="8"/>
      <c r="C24" s="4" t="str">
        <f t="array" ref="C24">iferror(INDEX(Fixtures_Results!$E$2:$F$12,MATCH($A24,Fixtures_Results!$A$2:$A$12,0),MATCH("BatTeam"&amp;2*1/$B24,Fixtures_Results!$E$1:$F$1,0)),"")</f>
        <v/>
      </c>
      <c r="D24" s="6"/>
      <c r="E24" s="11"/>
      <c r="F24" s="11"/>
      <c r="G24" s="11"/>
      <c r="H24" s="11"/>
      <c r="M24" s="4" t="str">
        <f t="array" ref="M24">iferror(transpose(INDIRECT(SUBSTITUTE($C24," ","_"))),"")</f>
        <v/>
      </c>
    </row>
    <row r="25" ht="15.75" customHeight="1">
      <c r="A25" s="6"/>
      <c r="B25" s="8"/>
      <c r="C25" s="4" t="str">
        <f t="array" ref="C25">iferror(INDEX(Fixtures_Results!$E$2:$F$12,MATCH($A25,Fixtures_Results!$A$2:$A$12,0),MATCH("BatTeam"&amp;2*1/$B25,Fixtures_Results!$E$1:$F$1,0)),"")</f>
        <v/>
      </c>
      <c r="D25" s="6"/>
      <c r="E25" s="11"/>
      <c r="F25" s="11"/>
      <c r="G25" s="11"/>
      <c r="H25" s="11"/>
      <c r="M25" s="4" t="str">
        <f t="array" ref="M25">iferror(transpose(INDIRECT(SUBSTITUTE($C25," ","_"))),"")</f>
        <v/>
      </c>
    </row>
    <row r="26" ht="15.75" customHeight="1">
      <c r="A26" s="6"/>
      <c r="B26" s="8"/>
      <c r="C26" s="4" t="str">
        <f t="array" ref="C26">iferror(INDEX(Fixtures_Results!$E$2:$F$12,MATCH($A26,Fixtures_Results!$A$2:$A$12,0),MATCH("BatTeam"&amp;2*1/$B26,Fixtures_Results!$E$1:$F$1,0)),"")</f>
        <v/>
      </c>
      <c r="D26" s="6"/>
      <c r="E26" s="11"/>
      <c r="F26" s="11"/>
      <c r="G26" s="11"/>
      <c r="H26" s="11"/>
      <c r="M26" s="4" t="str">
        <f t="array" ref="M26">iferror(transpose(INDIRECT(SUBSTITUTE($C26," ","_"))),"")</f>
        <v/>
      </c>
    </row>
    <row r="27" ht="15.75" customHeight="1">
      <c r="A27" s="6"/>
      <c r="B27" s="8"/>
      <c r="C27" s="4" t="str">
        <f t="array" ref="C27">iferror(INDEX(Fixtures_Results!$E$2:$F$12,MATCH($A27,Fixtures_Results!$A$2:$A$12,0),MATCH("BatTeam"&amp;2*1/$B27,Fixtures_Results!$E$1:$F$1,0)),"")</f>
        <v/>
      </c>
      <c r="D27" s="6"/>
      <c r="E27" s="11"/>
      <c r="F27" s="11"/>
      <c r="G27" s="11"/>
      <c r="H27" s="11"/>
      <c r="M27" s="4" t="str">
        <f t="array" ref="M27">iferror(transpose(INDIRECT(SUBSTITUTE($C27," ","_"))),"")</f>
        <v/>
      </c>
    </row>
    <row r="28" ht="15.75" customHeight="1">
      <c r="A28" s="6"/>
      <c r="B28" s="8"/>
      <c r="C28" s="4" t="str">
        <f t="array" ref="C28">iferror(INDEX(Fixtures_Results!$E$2:$F$12,MATCH($A28,Fixtures_Results!$A$2:$A$12,0),MATCH("BatTeam"&amp;2*1/$B28,Fixtures_Results!$E$1:$F$1,0)),"")</f>
        <v/>
      </c>
      <c r="D28" s="6"/>
      <c r="E28" s="11"/>
      <c r="F28" s="11"/>
      <c r="G28" s="11"/>
      <c r="H28" s="11"/>
      <c r="M28" s="4" t="str">
        <f t="array" ref="M28">iferror(transpose(INDIRECT(SUBSTITUTE($C28," ","_"))),"")</f>
        <v/>
      </c>
    </row>
    <row r="29" ht="15.75" customHeight="1">
      <c r="A29" s="6"/>
      <c r="B29" s="8"/>
      <c r="C29" s="4" t="str">
        <f t="array" ref="C29">iferror(INDEX(Fixtures_Results!$E$2:$F$12,MATCH($A29,Fixtures_Results!$A$2:$A$12,0),MATCH("BatTeam"&amp;2*1/$B29,Fixtures_Results!$E$1:$F$1,0)),"")</f>
        <v/>
      </c>
      <c r="D29" s="6"/>
      <c r="E29" s="11"/>
      <c r="F29" s="11"/>
      <c r="G29" s="11"/>
      <c r="H29" s="11"/>
      <c r="M29" s="4" t="str">
        <f t="array" ref="M29">iferror(transpose(INDIRECT(SUBSTITUTE($C29," ","_"))),"")</f>
        <v/>
      </c>
    </row>
    <row r="30" ht="15.75" customHeight="1">
      <c r="A30" s="6"/>
      <c r="B30" s="8"/>
      <c r="C30" s="4" t="str">
        <f t="array" ref="C30">iferror(INDEX(Fixtures_Results!$E$2:$F$12,MATCH($A30,Fixtures_Results!$A$2:$A$12,0),MATCH("BatTeam"&amp;2*1/$B30,Fixtures_Results!$E$1:$F$1,0)),"")</f>
        <v/>
      </c>
      <c r="D30" s="6"/>
      <c r="E30" s="11"/>
      <c r="F30" s="11"/>
      <c r="G30" s="11"/>
      <c r="H30" s="11"/>
      <c r="M30" s="4" t="str">
        <f t="array" ref="M30">iferror(transpose(INDIRECT(SUBSTITUTE($C30," ","_"))),"")</f>
        <v/>
      </c>
    </row>
    <row r="31" ht="15.75" customHeight="1">
      <c r="A31" s="6"/>
      <c r="B31" s="8"/>
      <c r="C31" s="4" t="str">
        <f t="array" ref="C31">iferror(INDEX(Fixtures_Results!$E$2:$F$12,MATCH($A31,Fixtures_Results!$A$2:$A$12,0),MATCH("BatTeam"&amp;2*1/$B31,Fixtures_Results!$E$1:$F$1,0)),"")</f>
        <v/>
      </c>
      <c r="D31" s="6"/>
      <c r="E31" s="11"/>
      <c r="F31" s="11"/>
      <c r="G31" s="11"/>
      <c r="H31" s="11"/>
      <c r="M31" s="4" t="str">
        <f t="array" ref="M31">iferror(transpose(INDIRECT(SUBSTITUTE($C31," ","_"))),"")</f>
        <v/>
      </c>
    </row>
    <row r="32" ht="15.75" customHeight="1">
      <c r="A32" s="6"/>
      <c r="B32" s="8"/>
      <c r="C32" s="4" t="str">
        <f t="array" ref="C32">iferror(INDEX(Fixtures_Results!$E$2:$F$12,MATCH($A32,Fixtures_Results!$A$2:$A$12,0),MATCH("BatTeam"&amp;2*1/$B32,Fixtures_Results!$E$1:$F$1,0)),"")</f>
        <v/>
      </c>
      <c r="D32" s="6"/>
      <c r="E32" s="11"/>
      <c r="F32" s="11"/>
      <c r="G32" s="11"/>
      <c r="H32" s="11"/>
      <c r="M32" s="4" t="str">
        <f t="array" ref="M32">iferror(transpose(INDIRECT(SUBSTITUTE($C32," ","_"))),"")</f>
        <v/>
      </c>
    </row>
    <row r="33" ht="15.75" customHeight="1">
      <c r="A33" s="6"/>
      <c r="B33" s="8"/>
      <c r="C33" s="4" t="str">
        <f t="array" ref="C33">iferror(INDEX(Fixtures_Results!$E$2:$F$12,MATCH($A33,Fixtures_Results!$A$2:$A$12,0),MATCH("BatTeam"&amp;2*1/$B33,Fixtures_Results!$E$1:$F$1,0)),"")</f>
        <v/>
      </c>
      <c r="D33" s="6"/>
      <c r="E33" s="11"/>
      <c r="F33" s="11"/>
      <c r="G33" s="11"/>
      <c r="H33" s="11"/>
      <c r="M33" s="4" t="str">
        <f t="array" ref="M33">iferror(transpose(INDIRECT(SUBSTITUTE($C33," ","_"))),"")</f>
        <v/>
      </c>
    </row>
    <row r="34" ht="15.75" customHeight="1">
      <c r="A34" s="6"/>
      <c r="B34" s="8"/>
      <c r="C34" s="4" t="str">
        <f t="array" ref="C34">iferror(INDEX(Fixtures_Results!$E$2:$F$12,MATCH($A34,Fixtures_Results!$A$2:$A$12,0),MATCH("BatTeam"&amp;2*1/$B34,Fixtures_Results!$E$1:$F$1,0)),"")</f>
        <v/>
      </c>
      <c r="D34" s="6"/>
      <c r="E34" s="11"/>
      <c r="F34" s="11"/>
      <c r="G34" s="11"/>
      <c r="H34" s="11"/>
      <c r="M34" s="4" t="str">
        <f t="array" ref="M34">iferror(transpose(INDIRECT(SUBSTITUTE($C34," ","_"))),"")</f>
        <v/>
      </c>
    </row>
    <row r="35" ht="15.75" customHeight="1">
      <c r="A35" s="6"/>
      <c r="B35" s="8"/>
      <c r="C35" s="4" t="str">
        <f t="array" ref="C35">iferror(INDEX(Fixtures_Results!$E$2:$F$12,MATCH($A35,Fixtures_Results!$A$2:$A$12,0),MATCH("BatTeam"&amp;2*1/$B35,Fixtures_Results!$E$1:$F$1,0)),"")</f>
        <v/>
      </c>
      <c r="D35" s="6"/>
      <c r="E35" s="11"/>
      <c r="F35" s="11"/>
      <c r="G35" s="11"/>
      <c r="H35" s="11"/>
      <c r="M35" s="4" t="str">
        <f t="array" ref="M35">iferror(transpose(INDIRECT(SUBSTITUTE($C35," ","_"))),"")</f>
        <v/>
      </c>
    </row>
    <row r="36" ht="15.75" customHeight="1">
      <c r="A36" s="6"/>
      <c r="B36" s="8"/>
      <c r="C36" s="4" t="str">
        <f t="array" ref="C36">iferror(INDEX(Fixtures_Results!$E$2:$F$12,MATCH($A36,Fixtures_Results!$A$2:$A$12,0),MATCH("BatTeam"&amp;2*1/$B36,Fixtures_Results!$E$1:$F$1,0)),"")</f>
        <v/>
      </c>
      <c r="D36" s="6"/>
      <c r="E36" s="11"/>
      <c r="F36" s="11"/>
      <c r="G36" s="11"/>
      <c r="H36" s="11"/>
      <c r="M36" s="4" t="str">
        <f t="array" ref="M36">iferror(transpose(INDIRECT(SUBSTITUTE($C36," ","_"))),"")</f>
        <v/>
      </c>
    </row>
    <row r="37" ht="15.75" customHeight="1">
      <c r="A37" s="6"/>
      <c r="B37" s="8"/>
      <c r="C37" s="4" t="str">
        <f t="array" ref="C37">iferror(INDEX(Fixtures_Results!$E$2:$F$12,MATCH($A37,Fixtures_Results!$A$2:$A$12,0),MATCH("BatTeam"&amp;2*1/$B37,Fixtures_Results!$E$1:$F$1,0)),"")</f>
        <v/>
      </c>
      <c r="D37" s="6"/>
      <c r="E37" s="11"/>
      <c r="F37" s="11"/>
      <c r="G37" s="11"/>
      <c r="H37" s="11"/>
      <c r="M37" s="4" t="str">
        <f t="array" ref="M37">iferror(transpose(INDIRECT(SUBSTITUTE($C37," ","_"))),"")</f>
        <v/>
      </c>
    </row>
    <row r="38" ht="15.75" customHeight="1">
      <c r="A38" s="6"/>
      <c r="B38" s="8"/>
      <c r="C38" s="4" t="str">
        <f t="array" ref="C38">iferror(INDEX(Fixtures_Results!$E$2:$F$12,MATCH($A38,Fixtures_Results!$A$2:$A$12,0),MATCH("BatTeam"&amp;2*1/$B38,Fixtures_Results!$E$1:$F$1,0)),"")</f>
        <v/>
      </c>
      <c r="D38" s="6"/>
      <c r="E38" s="11"/>
      <c r="F38" s="11"/>
      <c r="G38" s="11"/>
      <c r="H38" s="11"/>
      <c r="M38" s="4" t="str">
        <f t="array" ref="M38">iferror(transpose(INDIRECT(SUBSTITUTE($C38," ","_"))),"")</f>
        <v/>
      </c>
    </row>
    <row r="39" ht="15.75" customHeight="1">
      <c r="A39" s="6"/>
      <c r="B39" s="8"/>
      <c r="C39" s="4" t="str">
        <f t="array" ref="C39">iferror(INDEX(Fixtures_Results!$E$2:$F$12,MATCH($A39,Fixtures_Results!$A$2:$A$12,0),MATCH("BatTeam"&amp;2*1/$B39,Fixtures_Results!$E$1:$F$1,0)),"")</f>
        <v/>
      </c>
      <c r="D39" s="6"/>
      <c r="E39" s="11"/>
      <c r="F39" s="11"/>
      <c r="G39" s="11"/>
      <c r="H39" s="11"/>
      <c r="M39" s="4" t="str">
        <f t="array" ref="M39">iferror(transpose(INDIRECT(SUBSTITUTE($C39," ","_"))),"")</f>
        <v/>
      </c>
    </row>
    <row r="40" ht="15.75" customHeight="1">
      <c r="A40" s="6"/>
      <c r="B40" s="8"/>
      <c r="C40" s="4" t="str">
        <f t="array" ref="C40">iferror(INDEX(Fixtures_Results!$E$2:$F$12,MATCH($A40,Fixtures_Results!$A$2:$A$12,0),MATCH("BatTeam"&amp;2*1/$B40,Fixtures_Results!$E$1:$F$1,0)),"")</f>
        <v/>
      </c>
      <c r="D40" s="6"/>
      <c r="E40" s="11"/>
      <c r="F40" s="11"/>
      <c r="G40" s="11"/>
      <c r="H40" s="11"/>
      <c r="M40" s="4" t="str">
        <f t="array" ref="M40">iferror(transpose(INDIRECT(SUBSTITUTE($C40," ","_"))),"")</f>
        <v/>
      </c>
    </row>
    <row r="41" ht="15.75" customHeight="1">
      <c r="A41" s="6"/>
      <c r="B41" s="8"/>
      <c r="C41" s="4" t="str">
        <f t="array" ref="C41">iferror(INDEX(Fixtures_Results!$E$2:$F$12,MATCH($A41,Fixtures_Results!$A$2:$A$12,0),MATCH("BatTeam"&amp;2*1/$B41,Fixtures_Results!$E$1:$F$1,0)),"")</f>
        <v/>
      </c>
      <c r="D41" s="6"/>
      <c r="E41" s="11"/>
      <c r="F41" s="11"/>
      <c r="G41" s="11"/>
      <c r="H41" s="11"/>
      <c r="M41" s="4" t="str">
        <f t="array" ref="M41">iferror(transpose(INDIRECT(SUBSTITUTE($C41," ","_"))),"")</f>
        <v/>
      </c>
    </row>
    <row r="42" ht="15.75" customHeight="1">
      <c r="A42" s="6"/>
      <c r="B42" s="8"/>
      <c r="C42" s="4" t="str">
        <f t="array" ref="C42">iferror(INDEX(Fixtures_Results!$E$2:$F$12,MATCH($A42,Fixtures_Results!$A$2:$A$12,0),MATCH("BatTeam"&amp;2*1/$B42,Fixtures_Results!$E$1:$F$1,0)),"")</f>
        <v/>
      </c>
      <c r="D42" s="6"/>
      <c r="E42" s="11"/>
      <c r="F42" s="11"/>
      <c r="G42" s="11"/>
      <c r="H42" s="11"/>
      <c r="M42" s="4" t="str">
        <f t="array" ref="M42">iferror(transpose(INDIRECT(SUBSTITUTE($C42," ","_"))),"")</f>
        <v/>
      </c>
    </row>
    <row r="43" ht="15.75" customHeight="1">
      <c r="A43" s="6"/>
      <c r="B43" s="8"/>
      <c r="C43" s="4" t="str">
        <f t="array" ref="C43">iferror(INDEX(Fixtures_Results!$E$2:$F$12,MATCH($A43,Fixtures_Results!$A$2:$A$12,0),MATCH("BatTeam"&amp;2*1/$B43,Fixtures_Results!$E$1:$F$1,0)),"")</f>
        <v/>
      </c>
      <c r="D43" s="6"/>
      <c r="E43" s="11"/>
      <c r="F43" s="11"/>
      <c r="G43" s="11"/>
      <c r="H43" s="11"/>
      <c r="M43" s="4" t="str">
        <f t="array" ref="M43">iferror(transpose(INDIRECT(SUBSTITUTE($C43," ","_"))),"")</f>
        <v/>
      </c>
    </row>
    <row r="44" ht="15.75" customHeight="1">
      <c r="A44" s="6"/>
      <c r="B44" s="8"/>
      <c r="C44" s="4" t="str">
        <f t="array" ref="C44">iferror(INDEX(Fixtures_Results!$E$2:$F$12,MATCH($A44,Fixtures_Results!$A$2:$A$12,0),MATCH("BatTeam"&amp;2*1/$B44,Fixtures_Results!$E$1:$F$1,0)),"")</f>
        <v/>
      </c>
      <c r="D44" s="6"/>
      <c r="E44" s="11"/>
      <c r="F44" s="11"/>
      <c r="G44" s="11"/>
      <c r="H44" s="11"/>
      <c r="M44" s="4" t="str">
        <f t="array" ref="M44">iferror(transpose(INDIRECT(SUBSTITUTE($C44," ","_"))),"")</f>
        <v/>
      </c>
    </row>
    <row r="45" ht="15.75" customHeight="1">
      <c r="A45" s="6"/>
      <c r="B45" s="8"/>
      <c r="C45" s="4" t="str">
        <f t="array" ref="C45">iferror(INDEX(Fixtures_Results!$E$2:$F$12,MATCH($A45,Fixtures_Results!$A$2:$A$12,0),MATCH("BatTeam"&amp;2*1/$B45,Fixtures_Results!$E$1:$F$1,0)),"")</f>
        <v/>
      </c>
      <c r="D45" s="6"/>
      <c r="E45" s="11"/>
      <c r="F45" s="11"/>
      <c r="G45" s="11"/>
      <c r="H45" s="11"/>
      <c r="M45" s="4" t="str">
        <f t="array" ref="M45">iferror(transpose(INDIRECT(SUBSTITUTE($C45," ","_"))),"")</f>
        <v/>
      </c>
    </row>
    <row r="46" ht="15.75" customHeight="1">
      <c r="A46" s="6"/>
      <c r="B46" s="8"/>
      <c r="C46" s="4" t="str">
        <f t="array" ref="C46">iferror(INDEX(Fixtures_Results!$E$2:$F$12,MATCH($A46,Fixtures_Results!$A$2:$A$12,0),MATCH("BatTeam"&amp;2*1/$B46,Fixtures_Results!$E$1:$F$1,0)),"")</f>
        <v/>
      </c>
      <c r="D46" s="6"/>
      <c r="E46" s="11"/>
      <c r="F46" s="11"/>
      <c r="G46" s="11"/>
      <c r="H46" s="11"/>
      <c r="M46" s="4" t="str">
        <f t="array" ref="M46">iferror(transpose(INDIRECT(SUBSTITUTE($C46," ","_"))),"")</f>
        <v/>
      </c>
    </row>
    <row r="47" ht="15.75" customHeight="1">
      <c r="A47" s="6"/>
      <c r="B47" s="8"/>
      <c r="C47" s="4" t="str">
        <f t="array" ref="C47">iferror(INDEX(Fixtures_Results!$E$2:$F$12,MATCH($A47,Fixtures_Results!$A$2:$A$12,0),MATCH("BatTeam"&amp;2*1/$B47,Fixtures_Results!$E$1:$F$1,0)),"")</f>
        <v/>
      </c>
      <c r="D47" s="6"/>
      <c r="E47" s="11"/>
      <c r="F47" s="11"/>
      <c r="G47" s="11"/>
      <c r="H47" s="11"/>
      <c r="M47" s="4" t="str">
        <f t="array" ref="M47">iferror(transpose(INDIRECT(SUBSTITUTE($C47," ","_"))),"")</f>
        <v/>
      </c>
    </row>
    <row r="48" ht="15.75" customHeight="1">
      <c r="A48" s="6"/>
      <c r="B48" s="8"/>
      <c r="C48" s="4" t="str">
        <f t="array" ref="C48">iferror(INDEX(Fixtures_Results!$E$2:$F$12,MATCH($A48,Fixtures_Results!$A$2:$A$12,0),MATCH("BatTeam"&amp;2*1/$B48,Fixtures_Results!$E$1:$F$1,0)),"")</f>
        <v/>
      </c>
      <c r="D48" s="6"/>
      <c r="E48" s="11"/>
      <c r="F48" s="11"/>
      <c r="G48" s="11"/>
      <c r="H48" s="11"/>
      <c r="M48" s="4" t="str">
        <f t="array" ref="M48">iferror(transpose(INDIRECT(SUBSTITUTE($C48," ","_"))),"")</f>
        <v/>
      </c>
    </row>
    <row r="49" ht="15.75" customHeight="1">
      <c r="A49" s="6"/>
      <c r="B49" s="8"/>
      <c r="C49" s="4" t="str">
        <f t="array" ref="C49">iferror(INDEX(Fixtures_Results!$E$2:$F$12,MATCH($A49,Fixtures_Results!$A$2:$A$12,0),MATCH("BatTeam"&amp;2*1/$B49,Fixtures_Results!$E$1:$F$1,0)),"")</f>
        <v/>
      </c>
      <c r="D49" s="6"/>
      <c r="E49" s="11"/>
      <c r="F49" s="11"/>
      <c r="G49" s="11"/>
      <c r="H49" s="11"/>
      <c r="M49" s="4" t="str">
        <f t="array" ref="M49">iferror(transpose(INDIRECT(SUBSTITUTE($C49," ","_"))),"")</f>
        <v/>
      </c>
    </row>
    <row r="50" ht="15.75" customHeight="1">
      <c r="A50" s="6"/>
      <c r="B50" s="8"/>
      <c r="C50" s="4" t="str">
        <f t="array" ref="C50">iferror(INDEX(Fixtures_Results!$E$2:$F$12,MATCH($A50,Fixtures_Results!$A$2:$A$12,0),MATCH("BatTeam"&amp;2*1/$B50,Fixtures_Results!$E$1:$F$1,0)),"")</f>
        <v/>
      </c>
      <c r="D50" s="6"/>
      <c r="E50" s="11"/>
      <c r="F50" s="11"/>
      <c r="G50" s="11"/>
      <c r="H50" s="11"/>
      <c r="M50" s="4" t="str">
        <f t="array" ref="M50">iferror(transpose(INDIRECT(SUBSTITUTE($C50," ","_"))),"")</f>
        <v/>
      </c>
    </row>
    <row r="51" ht="15.75" customHeight="1">
      <c r="A51" s="6"/>
      <c r="B51" s="8"/>
      <c r="C51" s="4" t="str">
        <f t="array" ref="C51">iferror(INDEX(Fixtures_Results!$E$2:$F$12,MATCH($A51,Fixtures_Results!$A$2:$A$12,0),MATCH("BatTeam"&amp;2*1/$B51,Fixtures_Results!$E$1:$F$1,0)),"")</f>
        <v/>
      </c>
      <c r="D51" s="6"/>
      <c r="E51" s="11"/>
      <c r="F51" s="11"/>
      <c r="G51" s="11"/>
      <c r="H51" s="11"/>
      <c r="M51" s="4" t="str">
        <f t="array" ref="M51">iferror(transpose(INDIRECT(SUBSTITUTE($C51," ","_"))),"")</f>
        <v/>
      </c>
    </row>
    <row r="52" ht="15.75" customHeight="1">
      <c r="A52" s="6"/>
      <c r="B52" s="8"/>
      <c r="C52" s="4" t="str">
        <f t="array" ref="C52">iferror(INDEX(Fixtures_Results!$E$2:$F$12,MATCH($A52,Fixtures_Results!$A$2:$A$12,0),MATCH("BatTeam"&amp;2*1/$B52,Fixtures_Results!$E$1:$F$1,0)),"")</f>
        <v/>
      </c>
      <c r="D52" s="6"/>
      <c r="E52" s="11"/>
      <c r="F52" s="11"/>
      <c r="G52" s="11"/>
      <c r="H52" s="11"/>
      <c r="M52" s="4" t="str">
        <f t="array" ref="M52">iferror(transpose(INDIRECT(SUBSTITUTE($C52," ","_"))),"")</f>
        <v/>
      </c>
    </row>
    <row r="53" ht="15.75" customHeight="1">
      <c r="A53" s="6"/>
      <c r="B53" s="8"/>
      <c r="C53" s="4" t="str">
        <f t="array" ref="C53">iferror(INDEX(Fixtures_Results!$E$2:$F$12,MATCH($A53,Fixtures_Results!$A$2:$A$12,0),MATCH("BatTeam"&amp;2*1/$B53,Fixtures_Results!$E$1:$F$1,0)),"")</f>
        <v/>
      </c>
      <c r="D53" s="6"/>
      <c r="E53" s="11"/>
      <c r="F53" s="11"/>
      <c r="G53" s="11"/>
      <c r="H53" s="11"/>
      <c r="M53" s="4" t="str">
        <f t="array" ref="M53">iferror(transpose(INDIRECT(SUBSTITUTE($C53," ","_"))),"")</f>
        <v/>
      </c>
    </row>
    <row r="54" ht="15.75" customHeight="1">
      <c r="A54" s="6"/>
      <c r="B54" s="8"/>
      <c r="C54" s="4" t="str">
        <f t="array" ref="C54">iferror(INDEX(Fixtures_Results!$E$2:$F$12,MATCH($A54,Fixtures_Results!$A$2:$A$12,0),MATCH("BatTeam"&amp;2*1/$B54,Fixtures_Results!$E$1:$F$1,0)),"")</f>
        <v/>
      </c>
      <c r="D54" s="6"/>
      <c r="E54" s="11"/>
      <c r="F54" s="11"/>
      <c r="G54" s="11"/>
      <c r="H54" s="11"/>
      <c r="M54" s="4" t="str">
        <f t="array" ref="M54">iferror(transpose(INDIRECT(SUBSTITUTE($C54," ","_"))),"")</f>
        <v/>
      </c>
    </row>
    <row r="55" ht="15.75" customHeight="1">
      <c r="A55" s="6"/>
      <c r="B55" s="8"/>
      <c r="C55" s="4" t="str">
        <f t="array" ref="C55">iferror(INDEX(Fixtures_Results!$E$2:$F$12,MATCH($A55,Fixtures_Results!$A$2:$A$12,0),MATCH("BatTeam"&amp;2*1/$B55,Fixtures_Results!$E$1:$F$1,0)),"")</f>
        <v/>
      </c>
      <c r="D55" s="6"/>
      <c r="E55" s="11"/>
      <c r="F55" s="11"/>
      <c r="G55" s="11"/>
      <c r="H55" s="11"/>
      <c r="M55" s="4" t="str">
        <f t="array" ref="M55">iferror(transpose(INDIRECT(SUBSTITUTE($C55," ","_"))),"")</f>
        <v/>
      </c>
    </row>
    <row r="56" ht="15.75" customHeight="1">
      <c r="A56" s="6"/>
      <c r="B56" s="8"/>
      <c r="C56" s="4" t="str">
        <f t="array" ref="C56">iferror(INDEX(Fixtures_Results!$E$2:$F$12,MATCH($A56,Fixtures_Results!$A$2:$A$12,0),MATCH("BatTeam"&amp;2*1/$B56,Fixtures_Results!$E$1:$F$1,0)),"")</f>
        <v/>
      </c>
      <c r="D56" s="6"/>
      <c r="E56" s="11"/>
      <c r="F56" s="11"/>
      <c r="G56" s="11"/>
      <c r="H56" s="11"/>
      <c r="M56" s="4" t="str">
        <f t="array" ref="M56">iferror(transpose(INDIRECT(SUBSTITUTE($C56," ","_"))),"")</f>
        <v/>
      </c>
    </row>
    <row r="57" ht="15.75" customHeight="1">
      <c r="A57" s="6"/>
      <c r="B57" s="8"/>
      <c r="C57" s="4" t="str">
        <f t="array" ref="C57">iferror(INDEX(Fixtures_Results!$E$2:$F$12,MATCH($A57,Fixtures_Results!$A$2:$A$12,0),MATCH("BatTeam"&amp;2*1/$B57,Fixtures_Results!$E$1:$F$1,0)),"")</f>
        <v/>
      </c>
      <c r="D57" s="6"/>
      <c r="E57" s="11"/>
      <c r="F57" s="11"/>
      <c r="G57" s="11"/>
      <c r="H57" s="11"/>
      <c r="M57" s="4" t="str">
        <f t="array" ref="M57">iferror(transpose(INDIRECT(SUBSTITUTE($C57," ","_"))),"")</f>
        <v/>
      </c>
    </row>
    <row r="58" ht="15.75" customHeight="1">
      <c r="A58" s="6"/>
      <c r="B58" s="8"/>
      <c r="C58" s="4" t="str">
        <f t="array" ref="C58">iferror(INDEX(Fixtures_Results!$E$2:$F$12,MATCH($A58,Fixtures_Results!$A$2:$A$12,0),MATCH("BatTeam"&amp;2*1/$B58,Fixtures_Results!$E$1:$F$1,0)),"")</f>
        <v/>
      </c>
      <c r="D58" s="6"/>
      <c r="E58" s="11"/>
      <c r="F58" s="11"/>
      <c r="G58" s="11"/>
      <c r="H58" s="11"/>
      <c r="M58" s="4" t="str">
        <f t="array" ref="M58">iferror(transpose(INDIRECT(SUBSTITUTE($C58," ","_"))),"")</f>
        <v/>
      </c>
    </row>
    <row r="59" ht="15.75" customHeight="1">
      <c r="A59" s="6"/>
      <c r="B59" s="8"/>
      <c r="C59" s="4" t="str">
        <f t="array" ref="C59">iferror(INDEX(Fixtures_Results!$E$2:$F$12,MATCH($A59,Fixtures_Results!$A$2:$A$12,0),MATCH("BatTeam"&amp;2*1/$B59,Fixtures_Results!$E$1:$F$1,0)),"")</f>
        <v/>
      </c>
      <c r="D59" s="6"/>
      <c r="E59" s="11"/>
      <c r="F59" s="11"/>
      <c r="G59" s="11"/>
      <c r="H59" s="11"/>
      <c r="M59" s="4" t="str">
        <f t="array" ref="M59">iferror(transpose(INDIRECT(SUBSTITUTE($C59," ","_"))),"")</f>
        <v/>
      </c>
    </row>
    <row r="60" ht="15.75" customHeight="1">
      <c r="A60" s="6"/>
      <c r="B60" s="8"/>
      <c r="C60" s="4" t="str">
        <f t="array" ref="C60">iferror(INDEX(Fixtures_Results!$E$2:$F$12,MATCH($A60,Fixtures_Results!$A$2:$A$12,0),MATCH("BatTeam"&amp;2*1/$B60,Fixtures_Results!$E$1:$F$1,0)),"")</f>
        <v/>
      </c>
      <c r="D60" s="6"/>
      <c r="E60" s="11"/>
      <c r="F60" s="11"/>
      <c r="G60" s="11"/>
      <c r="H60" s="11"/>
      <c r="M60" s="4" t="str">
        <f t="array" ref="M60">iferror(transpose(INDIRECT(SUBSTITUTE($C60," ","_"))),"")</f>
        <v/>
      </c>
    </row>
    <row r="61" ht="15.75" customHeight="1">
      <c r="A61" s="6"/>
      <c r="B61" s="8"/>
      <c r="C61" s="4" t="str">
        <f t="array" ref="C61">iferror(INDEX(Fixtures_Results!$E$2:$F$12,MATCH($A61,Fixtures_Results!$A$2:$A$12,0),MATCH("BatTeam"&amp;2*1/$B61,Fixtures_Results!$E$1:$F$1,0)),"")</f>
        <v/>
      </c>
      <c r="D61" s="6"/>
      <c r="E61" s="11"/>
      <c r="F61" s="11"/>
      <c r="G61" s="11"/>
      <c r="H61" s="11"/>
      <c r="M61" s="4" t="str">
        <f t="array" ref="M61">iferror(transpose(INDIRECT(SUBSTITUTE($C61," ","_"))),"")</f>
        <v/>
      </c>
    </row>
    <row r="62" ht="15.75" customHeight="1">
      <c r="A62" s="6"/>
      <c r="B62" s="8"/>
      <c r="C62" s="4" t="str">
        <f t="array" ref="C62">iferror(INDEX(Fixtures_Results!$E$2:$F$12,MATCH($A62,Fixtures_Results!$A$2:$A$12,0),MATCH("BatTeam"&amp;2*1/$B62,Fixtures_Results!$E$1:$F$1,0)),"")</f>
        <v/>
      </c>
      <c r="D62" s="6"/>
      <c r="E62" s="11"/>
      <c r="F62" s="11"/>
      <c r="G62" s="11"/>
      <c r="H62" s="11"/>
      <c r="M62" s="4" t="str">
        <f t="array" ref="M62">iferror(transpose(INDIRECT(SUBSTITUTE($C62," ","_"))),"")</f>
        <v/>
      </c>
    </row>
    <row r="63" ht="15.75" customHeight="1">
      <c r="A63" s="6"/>
      <c r="B63" s="8"/>
      <c r="C63" s="4" t="str">
        <f t="array" ref="C63">iferror(INDEX(Fixtures_Results!$E$2:$F$12,MATCH($A63,Fixtures_Results!$A$2:$A$12,0),MATCH("BatTeam"&amp;2*1/$B63,Fixtures_Results!$E$1:$F$1,0)),"")</f>
        <v/>
      </c>
      <c r="D63" s="6"/>
      <c r="E63" s="11"/>
      <c r="F63" s="11"/>
      <c r="G63" s="11"/>
      <c r="H63" s="11"/>
      <c r="M63" s="4" t="str">
        <f t="array" ref="M63">iferror(transpose(INDIRECT(SUBSTITUTE($C63," ","_"))),"")</f>
        <v/>
      </c>
    </row>
    <row r="64" ht="15.75" customHeight="1">
      <c r="A64" s="6"/>
      <c r="B64" s="8"/>
      <c r="C64" s="4" t="str">
        <f t="array" ref="C64">iferror(INDEX(Fixtures_Results!$E$2:$F$12,MATCH($A64,Fixtures_Results!$A$2:$A$12,0),MATCH("BatTeam"&amp;2*1/$B64,Fixtures_Results!$E$1:$F$1,0)),"")</f>
        <v/>
      </c>
      <c r="D64" s="6"/>
      <c r="E64" s="11"/>
      <c r="F64" s="11"/>
      <c r="G64" s="11"/>
      <c r="H64" s="11"/>
      <c r="M64" s="4" t="str">
        <f t="array" ref="M64">iferror(transpose(INDIRECT(SUBSTITUTE($C64," ","_"))),"")</f>
        <v/>
      </c>
    </row>
    <row r="65" ht="15.75" customHeight="1">
      <c r="A65" s="6"/>
      <c r="B65" s="8"/>
      <c r="C65" s="4" t="str">
        <f t="array" ref="C65">iferror(INDEX(Fixtures_Results!$E$2:$F$12,MATCH($A65,Fixtures_Results!$A$2:$A$12,0),MATCH("BatTeam"&amp;2*1/$B65,Fixtures_Results!$E$1:$F$1,0)),"")</f>
        <v/>
      </c>
      <c r="D65" s="6"/>
      <c r="E65" s="11"/>
      <c r="F65" s="11"/>
      <c r="G65" s="11"/>
      <c r="H65" s="11"/>
      <c r="M65" s="4" t="str">
        <f t="array" ref="M65">iferror(transpose(INDIRECT(SUBSTITUTE($C65," ","_"))),"")</f>
        <v/>
      </c>
    </row>
    <row r="66" ht="15.75" customHeight="1">
      <c r="A66" s="6"/>
      <c r="B66" s="8"/>
      <c r="C66" s="4" t="str">
        <f t="array" ref="C66">iferror(INDEX(Fixtures_Results!$E$2:$F$12,MATCH($A66,Fixtures_Results!$A$2:$A$12,0),MATCH("BatTeam"&amp;2*1/$B66,Fixtures_Results!$E$1:$F$1,0)),"")</f>
        <v/>
      </c>
      <c r="D66" s="6"/>
      <c r="E66" s="11"/>
      <c r="F66" s="11"/>
      <c r="G66" s="11"/>
      <c r="H66" s="11"/>
      <c r="M66" s="4" t="str">
        <f t="array" ref="M66">iferror(transpose(INDIRECT(SUBSTITUTE($C66," ","_"))),"")</f>
        <v/>
      </c>
    </row>
    <row r="67" ht="15.75" customHeight="1">
      <c r="A67" s="6"/>
      <c r="B67" s="8"/>
      <c r="C67" s="4" t="str">
        <f t="array" ref="C67">iferror(INDEX(Fixtures_Results!$E$2:$F$12,MATCH($A67,Fixtures_Results!$A$2:$A$12,0),MATCH("BatTeam"&amp;2*1/$B67,Fixtures_Results!$E$1:$F$1,0)),"")</f>
        <v/>
      </c>
      <c r="D67" s="6"/>
      <c r="E67" s="11"/>
      <c r="F67" s="11"/>
      <c r="G67" s="11"/>
      <c r="H67" s="11"/>
      <c r="M67" s="4" t="str">
        <f t="array" ref="M67">iferror(transpose(INDIRECT(SUBSTITUTE($C67," ","_"))),"")</f>
        <v/>
      </c>
    </row>
    <row r="68" ht="15.75" customHeight="1">
      <c r="A68" s="6"/>
      <c r="B68" s="8"/>
      <c r="C68" s="4" t="str">
        <f t="array" ref="C68">iferror(INDEX(Fixtures_Results!$E$2:$F$12,MATCH($A68,Fixtures_Results!$A$2:$A$12,0),MATCH("BatTeam"&amp;2*1/$B68,Fixtures_Results!$E$1:$F$1,0)),"")</f>
        <v/>
      </c>
      <c r="D68" s="6"/>
      <c r="E68" s="11"/>
      <c r="F68" s="11"/>
      <c r="G68" s="11"/>
      <c r="H68" s="11"/>
      <c r="M68" s="4" t="str">
        <f t="array" ref="M68">iferror(transpose(INDIRECT(SUBSTITUTE($C68," ","_"))),"")</f>
        <v/>
      </c>
    </row>
    <row r="69" ht="15.75" customHeight="1">
      <c r="A69" s="6"/>
      <c r="B69" s="8"/>
      <c r="C69" s="4" t="str">
        <f t="array" ref="C69">iferror(INDEX(Fixtures_Results!$E$2:$F$12,MATCH($A69,Fixtures_Results!$A$2:$A$12,0),MATCH("BatTeam"&amp;2*1/$B69,Fixtures_Results!$E$1:$F$1,0)),"")</f>
        <v/>
      </c>
      <c r="D69" s="6"/>
      <c r="E69" s="11"/>
      <c r="F69" s="11"/>
      <c r="G69" s="11"/>
      <c r="H69" s="11"/>
      <c r="M69" s="4" t="str">
        <f t="array" ref="M69">iferror(transpose(INDIRECT(SUBSTITUTE($C69," ","_"))),"")</f>
        <v/>
      </c>
    </row>
    <row r="70" ht="15.75" customHeight="1">
      <c r="A70" s="6"/>
      <c r="B70" s="8"/>
      <c r="C70" s="4" t="str">
        <f t="array" ref="C70">iferror(INDEX(Fixtures_Results!$E$2:$F$12,MATCH($A70,Fixtures_Results!$A$2:$A$12,0),MATCH("BatTeam"&amp;2*1/$B70,Fixtures_Results!$E$1:$F$1,0)),"")</f>
        <v/>
      </c>
      <c r="D70" s="6"/>
      <c r="E70" s="11"/>
      <c r="F70" s="11"/>
      <c r="G70" s="11"/>
      <c r="H70" s="11"/>
      <c r="M70" s="4" t="str">
        <f t="array" ref="M70">iferror(transpose(INDIRECT(SUBSTITUTE($C70," ","_"))),"")</f>
        <v/>
      </c>
    </row>
    <row r="71" ht="15.75" customHeight="1">
      <c r="A71" s="6"/>
      <c r="B71" s="8"/>
      <c r="C71" s="4" t="str">
        <f t="array" ref="C71">iferror(INDEX(Fixtures_Results!$E$2:$F$12,MATCH($A71,Fixtures_Results!$A$2:$A$12,0),MATCH("BatTeam"&amp;2*1/$B71,Fixtures_Results!$E$1:$F$1,0)),"")</f>
        <v/>
      </c>
      <c r="D71" s="6"/>
      <c r="E71" s="11"/>
      <c r="F71" s="11"/>
      <c r="G71" s="11"/>
      <c r="H71" s="11"/>
      <c r="M71" s="4" t="str">
        <f t="array" ref="M71">iferror(transpose(INDIRECT(SUBSTITUTE($C71," ","_"))),"")</f>
        <v/>
      </c>
    </row>
    <row r="72" ht="15.75" customHeight="1">
      <c r="A72" s="6"/>
      <c r="B72" s="8"/>
      <c r="C72" s="4" t="str">
        <f t="array" ref="C72">iferror(INDEX(Fixtures_Results!$E$2:$F$12,MATCH($A72,Fixtures_Results!$A$2:$A$12,0),MATCH("BatTeam"&amp;2*1/$B72,Fixtures_Results!$E$1:$F$1,0)),"")</f>
        <v/>
      </c>
      <c r="D72" s="6"/>
      <c r="E72" s="11"/>
      <c r="F72" s="11"/>
      <c r="G72" s="11"/>
      <c r="H72" s="11"/>
      <c r="M72" s="4" t="str">
        <f t="array" ref="M72">iferror(transpose(INDIRECT(SUBSTITUTE($C72," ","_"))),"")</f>
        <v/>
      </c>
    </row>
    <row r="73" ht="15.75" customHeight="1">
      <c r="A73" s="6"/>
      <c r="B73" s="8"/>
      <c r="C73" s="4" t="str">
        <f t="array" ref="C73">iferror(INDEX(Fixtures_Results!$E$2:$F$12,MATCH($A73,Fixtures_Results!$A$2:$A$12,0),MATCH("BatTeam"&amp;2*1/$B73,Fixtures_Results!$E$1:$F$1,0)),"")</f>
        <v/>
      </c>
      <c r="D73" s="6"/>
      <c r="E73" s="11"/>
      <c r="F73" s="11"/>
      <c r="G73" s="11"/>
      <c r="H73" s="11"/>
      <c r="M73" s="4" t="str">
        <f t="array" ref="M73">iferror(transpose(INDIRECT(SUBSTITUTE($C73," ","_"))),"")</f>
        <v/>
      </c>
    </row>
    <row r="74" ht="15.75" customHeight="1">
      <c r="A74" s="6"/>
      <c r="B74" s="8"/>
      <c r="C74" s="4" t="str">
        <f t="array" ref="C74">iferror(INDEX(Fixtures_Results!$E$2:$F$12,MATCH($A74,Fixtures_Results!$A$2:$A$12,0),MATCH("BatTeam"&amp;2*1/$B74,Fixtures_Results!$E$1:$F$1,0)),"")</f>
        <v/>
      </c>
      <c r="D74" s="6"/>
      <c r="E74" s="11"/>
      <c r="F74" s="11"/>
      <c r="G74" s="11"/>
      <c r="H74" s="11"/>
      <c r="M74" s="4" t="str">
        <f t="array" ref="M74">iferror(transpose(INDIRECT(SUBSTITUTE($C74," ","_"))),"")</f>
        <v/>
      </c>
    </row>
    <row r="75" ht="15.75" customHeight="1">
      <c r="A75" s="6"/>
      <c r="B75" s="8"/>
      <c r="C75" s="4" t="str">
        <f t="array" ref="C75">iferror(INDEX(Fixtures_Results!$E$2:$F$12,MATCH($A75,Fixtures_Results!$A$2:$A$12,0),MATCH("BatTeam"&amp;2*1/$B75,Fixtures_Results!$E$1:$F$1,0)),"")</f>
        <v/>
      </c>
      <c r="D75" s="6"/>
      <c r="E75" s="11"/>
      <c r="F75" s="11"/>
      <c r="G75" s="11"/>
      <c r="H75" s="11"/>
      <c r="M75" s="4" t="str">
        <f t="array" ref="M75">iferror(transpose(INDIRECT(SUBSTITUTE($C75," ","_"))),"")</f>
        <v/>
      </c>
    </row>
    <row r="76" ht="15.75" customHeight="1">
      <c r="A76" s="6"/>
      <c r="B76" s="8"/>
      <c r="C76" s="4" t="str">
        <f t="array" ref="C76">iferror(INDEX(Fixtures_Results!$E$2:$F$12,MATCH($A76,Fixtures_Results!$A$2:$A$12,0),MATCH("BatTeam"&amp;2*1/$B76,Fixtures_Results!$E$1:$F$1,0)),"")</f>
        <v/>
      </c>
      <c r="D76" s="6"/>
      <c r="E76" s="11"/>
      <c r="F76" s="11"/>
      <c r="G76" s="11"/>
      <c r="H76" s="11"/>
      <c r="M76" s="4" t="str">
        <f t="array" ref="M76">iferror(transpose(INDIRECT(SUBSTITUTE($C76," ","_"))),"")</f>
        <v/>
      </c>
    </row>
    <row r="77" ht="15.75" customHeight="1">
      <c r="A77" s="6"/>
      <c r="B77" s="8"/>
      <c r="C77" s="4" t="str">
        <f t="array" ref="C77">iferror(INDEX(Fixtures_Results!$E$2:$F$12,MATCH($A77,Fixtures_Results!$A$2:$A$12,0),MATCH("BatTeam"&amp;2*1/$B77,Fixtures_Results!$E$1:$F$1,0)),"")</f>
        <v/>
      </c>
      <c r="D77" s="6"/>
      <c r="E77" s="11"/>
      <c r="F77" s="11"/>
      <c r="G77" s="11"/>
      <c r="H77" s="11"/>
      <c r="M77" s="4" t="str">
        <f t="array" ref="M77">iferror(transpose(INDIRECT(SUBSTITUTE($C77," ","_"))),"")</f>
        <v/>
      </c>
    </row>
    <row r="78" ht="15.75" customHeight="1">
      <c r="A78" s="6"/>
      <c r="B78" s="8"/>
      <c r="C78" s="4" t="str">
        <f t="array" ref="C78">iferror(INDEX(Fixtures_Results!$E$2:$F$12,MATCH($A78,Fixtures_Results!$A$2:$A$12,0),MATCH("BatTeam"&amp;2*1/$B78,Fixtures_Results!$E$1:$F$1,0)),"")</f>
        <v/>
      </c>
      <c r="D78" s="6"/>
      <c r="E78" s="11"/>
      <c r="F78" s="11"/>
      <c r="G78" s="11"/>
      <c r="H78" s="11"/>
      <c r="M78" s="4" t="str">
        <f t="array" ref="M78">iferror(transpose(INDIRECT(SUBSTITUTE($C78," ","_"))),"")</f>
        <v/>
      </c>
    </row>
    <row r="79" ht="15.75" customHeight="1">
      <c r="A79" s="6"/>
      <c r="B79" s="8"/>
      <c r="C79" s="4" t="str">
        <f t="array" ref="C79">iferror(INDEX(Fixtures_Results!$E$2:$F$12,MATCH($A79,Fixtures_Results!$A$2:$A$12,0),MATCH("BatTeam"&amp;2*1/$B79,Fixtures_Results!$E$1:$F$1,0)),"")</f>
        <v/>
      </c>
      <c r="D79" s="6"/>
      <c r="E79" s="11"/>
      <c r="F79" s="11"/>
      <c r="G79" s="11"/>
      <c r="H79" s="11"/>
      <c r="M79" s="4" t="str">
        <f t="array" ref="M79">iferror(transpose(INDIRECT(SUBSTITUTE($C79," ","_"))),"")</f>
        <v/>
      </c>
    </row>
    <row r="80" ht="15.75" customHeight="1">
      <c r="A80" s="6"/>
      <c r="B80" s="8"/>
      <c r="C80" s="4" t="str">
        <f t="array" ref="C80">iferror(INDEX(Fixtures_Results!$E$2:$F$12,MATCH($A80,Fixtures_Results!$A$2:$A$12,0),MATCH("BatTeam"&amp;2*1/$B80,Fixtures_Results!$E$1:$F$1,0)),"")</f>
        <v/>
      </c>
      <c r="D80" s="6"/>
      <c r="E80" s="11"/>
      <c r="F80" s="11"/>
      <c r="G80" s="11"/>
      <c r="H80" s="11"/>
      <c r="M80" s="4" t="str">
        <f t="array" ref="M80">iferror(transpose(INDIRECT(SUBSTITUTE($C80," ","_"))),"")</f>
        <v/>
      </c>
    </row>
    <row r="81" ht="15.75" customHeight="1">
      <c r="A81" s="6"/>
      <c r="B81" s="8"/>
      <c r="C81" s="4" t="str">
        <f t="array" ref="C81">iferror(INDEX(Fixtures_Results!$E$2:$F$12,MATCH($A81,Fixtures_Results!$A$2:$A$12,0),MATCH("BatTeam"&amp;2*1/$B81,Fixtures_Results!$E$1:$F$1,0)),"")</f>
        <v/>
      </c>
      <c r="D81" s="6"/>
      <c r="E81" s="11"/>
      <c r="F81" s="11"/>
      <c r="G81" s="11"/>
      <c r="H81" s="11"/>
      <c r="M81" s="4" t="str">
        <f t="array" ref="M81">iferror(transpose(INDIRECT(SUBSTITUTE($C81," ","_"))),"")</f>
        <v/>
      </c>
    </row>
    <row r="82" ht="15.75" customHeight="1">
      <c r="A82" s="6"/>
      <c r="B82" s="8"/>
      <c r="C82" s="4" t="str">
        <f t="array" ref="C82">iferror(INDEX(Fixtures_Results!$E$2:$F$12,MATCH($A82,Fixtures_Results!$A$2:$A$12,0),MATCH("BatTeam"&amp;2*1/$B82,Fixtures_Results!$E$1:$F$1,0)),"")</f>
        <v/>
      </c>
      <c r="D82" s="6"/>
      <c r="E82" s="11"/>
      <c r="F82" s="11"/>
      <c r="G82" s="11"/>
      <c r="H82" s="11"/>
      <c r="M82" s="4" t="str">
        <f t="array" ref="M82">iferror(transpose(INDIRECT(SUBSTITUTE($C82," ","_"))),"")</f>
        <v/>
      </c>
    </row>
    <row r="83" ht="15.75" customHeight="1">
      <c r="A83" s="6"/>
      <c r="B83" s="8"/>
      <c r="C83" s="4" t="str">
        <f t="array" ref="C83">iferror(INDEX(Fixtures_Results!$E$2:$F$12,MATCH($A83,Fixtures_Results!$A$2:$A$12,0),MATCH("BatTeam"&amp;2*1/$B83,Fixtures_Results!$E$1:$F$1,0)),"")</f>
        <v/>
      </c>
      <c r="D83" s="6"/>
      <c r="E83" s="11"/>
      <c r="F83" s="11"/>
      <c r="G83" s="11"/>
      <c r="H83" s="11"/>
      <c r="M83" s="4" t="str">
        <f t="array" ref="M83">iferror(transpose(INDIRECT(SUBSTITUTE($C83," ","_"))),"")</f>
        <v/>
      </c>
    </row>
    <row r="84" ht="15.75" customHeight="1">
      <c r="A84" s="6"/>
      <c r="B84" s="8"/>
      <c r="C84" s="4" t="str">
        <f t="array" ref="C84">iferror(INDEX(Fixtures_Results!$E$2:$F$12,MATCH($A84,Fixtures_Results!$A$2:$A$12,0),MATCH("BatTeam"&amp;2*1/$B84,Fixtures_Results!$E$1:$F$1,0)),"")</f>
        <v/>
      </c>
      <c r="D84" s="6"/>
      <c r="E84" s="11"/>
      <c r="F84" s="11"/>
      <c r="G84" s="11"/>
      <c r="H84" s="11"/>
      <c r="M84" s="4" t="str">
        <f t="array" ref="M84">iferror(transpose(INDIRECT(SUBSTITUTE($C84," ","_"))),"")</f>
        <v/>
      </c>
    </row>
    <row r="85" ht="15.75" customHeight="1">
      <c r="A85" s="6"/>
      <c r="B85" s="8"/>
      <c r="C85" s="4" t="str">
        <f t="array" ref="C85">iferror(INDEX(Fixtures_Results!$E$2:$F$12,MATCH($A85,Fixtures_Results!$A$2:$A$12,0),MATCH("BatTeam"&amp;2*1/$B85,Fixtures_Results!$E$1:$F$1,0)),"")</f>
        <v/>
      </c>
      <c r="D85" s="6"/>
      <c r="E85" s="11"/>
      <c r="F85" s="11"/>
      <c r="G85" s="11"/>
      <c r="H85" s="11"/>
      <c r="M85" s="4" t="str">
        <f t="array" ref="M85">iferror(transpose(INDIRECT(SUBSTITUTE($C85," ","_"))),"")</f>
        <v/>
      </c>
    </row>
    <row r="86" ht="15.75" customHeight="1">
      <c r="A86" s="6"/>
      <c r="B86" s="8"/>
      <c r="C86" s="4" t="str">
        <f t="array" ref="C86">iferror(INDEX(Fixtures_Results!$E$2:$F$12,MATCH($A86,Fixtures_Results!$A$2:$A$12,0),MATCH("BatTeam"&amp;2*1/$B86,Fixtures_Results!$E$1:$F$1,0)),"")</f>
        <v/>
      </c>
      <c r="D86" s="6"/>
      <c r="E86" s="11"/>
      <c r="F86" s="11"/>
      <c r="G86" s="11"/>
      <c r="H86" s="11"/>
      <c r="M86" s="4" t="str">
        <f t="array" ref="M86">iferror(transpose(INDIRECT(SUBSTITUTE($C86," ","_"))),"")</f>
        <v/>
      </c>
    </row>
    <row r="87" ht="15.75" customHeight="1">
      <c r="A87" s="6"/>
      <c r="B87" s="8"/>
      <c r="C87" s="4" t="str">
        <f t="array" ref="C87">iferror(INDEX(Fixtures_Results!$E$2:$F$12,MATCH($A87,Fixtures_Results!$A$2:$A$12,0),MATCH("BatTeam"&amp;2*1/$B87,Fixtures_Results!$E$1:$F$1,0)),"")</f>
        <v/>
      </c>
      <c r="D87" s="6"/>
      <c r="E87" s="11"/>
      <c r="F87" s="11"/>
      <c r="G87" s="11"/>
      <c r="H87" s="11"/>
      <c r="M87" s="4" t="str">
        <f t="array" ref="M87">iferror(transpose(INDIRECT(SUBSTITUTE($C87," ","_"))),"")</f>
        <v/>
      </c>
    </row>
    <row r="88" ht="15.75" customHeight="1">
      <c r="A88" s="6"/>
      <c r="B88" s="8"/>
      <c r="C88" s="4" t="str">
        <f t="array" ref="C88">iferror(INDEX(Fixtures_Results!$E$2:$F$12,MATCH($A88,Fixtures_Results!$A$2:$A$12,0),MATCH("BatTeam"&amp;2*1/$B88,Fixtures_Results!$E$1:$F$1,0)),"")</f>
        <v/>
      </c>
      <c r="D88" s="6"/>
      <c r="E88" s="11"/>
      <c r="F88" s="11"/>
      <c r="G88" s="11"/>
      <c r="H88" s="11"/>
      <c r="M88" s="4" t="str">
        <f t="array" ref="M88">iferror(transpose(INDIRECT(SUBSTITUTE($C88," ","_"))),"")</f>
        <v/>
      </c>
    </row>
    <row r="89" ht="15.75" customHeight="1">
      <c r="A89" s="6"/>
      <c r="B89" s="8"/>
      <c r="C89" s="4" t="str">
        <f t="array" ref="C89">iferror(INDEX(Fixtures_Results!$E$2:$F$12,MATCH($A89,Fixtures_Results!$A$2:$A$12,0),MATCH("BatTeam"&amp;2*1/$B89,Fixtures_Results!$E$1:$F$1,0)),"")</f>
        <v/>
      </c>
      <c r="D89" s="6"/>
      <c r="E89" s="11"/>
      <c r="F89" s="11"/>
      <c r="G89" s="11"/>
      <c r="H89" s="11"/>
      <c r="M89" s="4" t="str">
        <f t="array" ref="M89">iferror(transpose(INDIRECT(SUBSTITUTE($C89," ","_"))),"")</f>
        <v/>
      </c>
    </row>
    <row r="90" ht="15.75" customHeight="1">
      <c r="A90" s="6"/>
      <c r="B90" s="8"/>
      <c r="C90" s="4" t="str">
        <f t="array" ref="C90">iferror(INDEX(Fixtures_Results!$E$2:$F$12,MATCH($A90,Fixtures_Results!$A$2:$A$12,0),MATCH("BatTeam"&amp;2*1/$B90,Fixtures_Results!$E$1:$F$1,0)),"")</f>
        <v/>
      </c>
      <c r="D90" s="6"/>
      <c r="E90" s="11"/>
      <c r="F90" s="11"/>
      <c r="G90" s="11"/>
      <c r="H90" s="11"/>
      <c r="M90" s="4" t="str">
        <f t="array" ref="M90">iferror(transpose(INDIRECT(SUBSTITUTE($C90," ","_"))),"")</f>
        <v/>
      </c>
    </row>
    <row r="91" ht="15.75" customHeight="1">
      <c r="A91" s="6"/>
      <c r="B91" s="8"/>
      <c r="C91" s="4" t="str">
        <f t="array" ref="C91">iferror(INDEX(Fixtures_Results!$E$2:$F$12,MATCH($A91,Fixtures_Results!$A$2:$A$12,0),MATCH("BatTeam"&amp;2*1/$B91,Fixtures_Results!$E$1:$F$1,0)),"")</f>
        <v/>
      </c>
      <c r="D91" s="6"/>
      <c r="E91" s="11"/>
      <c r="F91" s="11"/>
      <c r="G91" s="11"/>
      <c r="H91" s="11"/>
      <c r="M91" s="4" t="str">
        <f t="array" ref="M91">iferror(transpose(INDIRECT(SUBSTITUTE($C91," ","_"))),"")</f>
        <v/>
      </c>
    </row>
    <row r="92" ht="15.75" customHeight="1">
      <c r="A92" s="6"/>
      <c r="B92" s="8"/>
      <c r="C92" s="4" t="str">
        <f t="array" ref="C92">iferror(INDEX(Fixtures_Results!$E$2:$F$12,MATCH($A92,Fixtures_Results!$A$2:$A$12,0),MATCH("BatTeam"&amp;2*1/$B92,Fixtures_Results!$E$1:$F$1,0)),"")</f>
        <v/>
      </c>
      <c r="D92" s="6"/>
      <c r="E92" s="11"/>
      <c r="F92" s="11"/>
      <c r="G92" s="11"/>
      <c r="H92" s="11"/>
      <c r="M92" s="4" t="str">
        <f t="array" ref="M92">iferror(transpose(INDIRECT(SUBSTITUTE($C92," ","_"))),"")</f>
        <v/>
      </c>
    </row>
    <row r="93" ht="15.75" customHeight="1">
      <c r="A93" s="6"/>
      <c r="B93" s="8"/>
      <c r="C93" s="4" t="str">
        <f t="array" ref="C93">iferror(INDEX(Fixtures_Results!$E$2:$F$12,MATCH($A93,Fixtures_Results!$A$2:$A$12,0),MATCH("BatTeam"&amp;2*1/$B93,Fixtures_Results!$E$1:$F$1,0)),"")</f>
        <v/>
      </c>
      <c r="D93" s="6"/>
      <c r="E93" s="11"/>
      <c r="F93" s="11"/>
      <c r="G93" s="11"/>
      <c r="H93" s="11"/>
      <c r="M93" s="4" t="str">
        <f t="array" ref="M93">iferror(transpose(INDIRECT(SUBSTITUTE($C93," ","_"))),"")</f>
        <v/>
      </c>
    </row>
    <row r="94" ht="15.75" customHeight="1">
      <c r="A94" s="6"/>
      <c r="B94" s="8"/>
      <c r="C94" s="4" t="str">
        <f t="array" ref="C94">iferror(INDEX(Fixtures_Results!$E$2:$F$12,MATCH($A94,Fixtures_Results!$A$2:$A$12,0),MATCH("BatTeam"&amp;2*1/$B94,Fixtures_Results!$E$1:$F$1,0)),"")</f>
        <v/>
      </c>
      <c r="D94" s="6"/>
      <c r="E94" s="11"/>
      <c r="F94" s="11"/>
      <c r="G94" s="11"/>
      <c r="H94" s="11"/>
      <c r="M94" s="4" t="str">
        <f t="array" ref="M94">iferror(transpose(INDIRECT(SUBSTITUTE($C94," ","_"))),"")</f>
        <v/>
      </c>
    </row>
    <row r="95" ht="15.75" customHeight="1">
      <c r="A95" s="6"/>
      <c r="B95" s="8"/>
      <c r="C95" s="4" t="str">
        <f t="array" ref="C95">iferror(INDEX(Fixtures_Results!$E$2:$F$12,MATCH($A95,Fixtures_Results!$A$2:$A$12,0),MATCH("BatTeam"&amp;2*1/$B95,Fixtures_Results!$E$1:$F$1,0)),"")</f>
        <v/>
      </c>
      <c r="D95" s="6"/>
      <c r="E95" s="11"/>
      <c r="F95" s="11"/>
      <c r="G95" s="11"/>
      <c r="H95" s="11"/>
      <c r="M95" s="4" t="str">
        <f t="array" ref="M95">iferror(transpose(INDIRECT(SUBSTITUTE($C95," ","_"))),"")</f>
        <v/>
      </c>
    </row>
    <row r="96" ht="15.75" customHeight="1">
      <c r="A96" s="6"/>
      <c r="B96" s="8"/>
      <c r="C96" s="4" t="str">
        <f t="array" ref="C96">iferror(INDEX(Fixtures_Results!$E$2:$F$12,MATCH($A96,Fixtures_Results!$A$2:$A$12,0),MATCH("BatTeam"&amp;2*1/$B96,Fixtures_Results!$E$1:$F$1,0)),"")</f>
        <v/>
      </c>
      <c r="D96" s="6"/>
      <c r="E96" s="11"/>
      <c r="F96" s="11"/>
      <c r="G96" s="11"/>
      <c r="H96" s="11"/>
      <c r="M96" s="4" t="str">
        <f t="array" ref="M96">iferror(transpose(INDIRECT(SUBSTITUTE($C96," ","_"))),"")</f>
        <v/>
      </c>
    </row>
    <row r="97" ht="15.75" customHeight="1">
      <c r="A97" s="6"/>
      <c r="B97" s="8"/>
      <c r="C97" s="4" t="str">
        <f t="array" ref="C97">iferror(INDEX(Fixtures_Results!$E$2:$F$12,MATCH($A97,Fixtures_Results!$A$2:$A$12,0),MATCH("BatTeam"&amp;2*1/$B97,Fixtures_Results!$E$1:$F$1,0)),"")</f>
        <v/>
      </c>
      <c r="D97" s="6"/>
      <c r="E97" s="11"/>
      <c r="F97" s="11"/>
      <c r="G97" s="11"/>
      <c r="H97" s="11"/>
      <c r="M97" s="4" t="str">
        <f t="array" ref="M97">iferror(transpose(INDIRECT(SUBSTITUTE($C97," ","_"))),"")</f>
        <v/>
      </c>
    </row>
    <row r="98" ht="15.75" customHeight="1">
      <c r="A98" s="6"/>
      <c r="B98" s="8"/>
      <c r="C98" s="4" t="str">
        <f t="array" ref="C98">iferror(INDEX(Fixtures_Results!$E$2:$F$12,MATCH($A98,Fixtures_Results!$A$2:$A$12,0),MATCH("BatTeam"&amp;2*1/$B98,Fixtures_Results!$E$1:$F$1,0)),"")</f>
        <v/>
      </c>
      <c r="D98" s="6"/>
      <c r="E98" s="11"/>
      <c r="F98" s="11"/>
      <c r="G98" s="11"/>
      <c r="H98" s="11"/>
      <c r="M98" s="4" t="str">
        <f t="array" ref="M98">iferror(transpose(INDIRECT(SUBSTITUTE($C98," ","_"))),"")</f>
        <v/>
      </c>
    </row>
    <row r="99" ht="15.75" customHeight="1">
      <c r="A99" s="6"/>
      <c r="B99" s="8"/>
      <c r="C99" s="4" t="str">
        <f t="array" ref="C99">iferror(INDEX(Fixtures_Results!$E$2:$F$12,MATCH($A99,Fixtures_Results!$A$2:$A$12,0),MATCH("BatTeam"&amp;2*1/$B99,Fixtures_Results!$E$1:$F$1,0)),"")</f>
        <v/>
      </c>
      <c r="D99" s="6"/>
      <c r="E99" s="11"/>
      <c r="F99" s="11"/>
      <c r="G99" s="11"/>
      <c r="H99" s="11"/>
      <c r="M99" s="4" t="str">
        <f t="array" ref="M99">iferror(transpose(INDIRECT(SUBSTITUTE($C99," ","_"))),"")</f>
        <v/>
      </c>
    </row>
    <row r="100" ht="15.75" customHeight="1">
      <c r="A100" s="6"/>
      <c r="B100" s="8"/>
      <c r="C100" s="4" t="str">
        <f t="array" ref="C100">iferror(INDEX(Fixtures_Results!$E$2:$F$12,MATCH($A100,Fixtures_Results!$A$2:$A$12,0),MATCH("BatTeam"&amp;2*1/$B100,Fixtures_Results!$E$1:$F$1,0)),"")</f>
        <v/>
      </c>
      <c r="D100" s="6"/>
      <c r="E100" s="11"/>
      <c r="F100" s="11"/>
      <c r="G100" s="11"/>
      <c r="H100" s="11"/>
      <c r="M100" s="4" t="str">
        <f t="array" ref="M100">iferror(transpose(INDIRECT(SUBSTITUTE($C100," ","_"))),"")</f>
        <v/>
      </c>
    </row>
    <row r="101" ht="15.75" customHeight="1">
      <c r="A101" s="6"/>
      <c r="B101" s="8"/>
      <c r="C101" s="4" t="str">
        <f t="array" ref="C101">iferror(INDEX(Fixtures_Results!$E$2:$F$12,MATCH($A101,Fixtures_Results!$A$2:$A$12,0),MATCH("BatTeam"&amp;2*1/$B101,Fixtures_Results!$E$1:$F$1,0)),"")</f>
        <v/>
      </c>
      <c r="D101" s="6"/>
      <c r="E101" s="11"/>
      <c r="F101" s="11"/>
      <c r="G101" s="11"/>
      <c r="H101" s="11"/>
      <c r="M101" s="4" t="str">
        <f t="array" ref="M101">iferror(transpose(INDIRECT(SUBSTITUTE($C101," ","_"))),"")</f>
        <v/>
      </c>
    </row>
    <row r="102" ht="15.75" customHeight="1">
      <c r="A102" s="6"/>
      <c r="B102" s="8"/>
      <c r="C102" s="4" t="str">
        <f t="array" ref="C102">iferror(INDEX(Fixtures_Results!$E$2:$F$12,MATCH($A102,Fixtures_Results!$A$2:$A$12,0),MATCH("BatTeam"&amp;2*1/$B102,Fixtures_Results!$E$1:$F$1,0)),"")</f>
        <v/>
      </c>
      <c r="D102" s="6"/>
      <c r="E102" s="11"/>
      <c r="F102" s="11"/>
      <c r="G102" s="11"/>
      <c r="H102" s="11"/>
      <c r="M102" s="4" t="str">
        <f t="array" ref="M102">iferror(transpose(INDIRECT(SUBSTITUTE($C102," ","_"))),"")</f>
        <v/>
      </c>
    </row>
    <row r="103" ht="15.75" customHeight="1">
      <c r="A103" s="6"/>
      <c r="B103" s="8"/>
      <c r="C103" s="4" t="str">
        <f t="array" ref="C103">iferror(INDEX(Fixtures_Results!$E$2:$F$12,MATCH($A103,Fixtures_Results!$A$2:$A$12,0),MATCH("BatTeam"&amp;2*1/$B103,Fixtures_Results!$E$1:$F$1,0)),"")</f>
        <v/>
      </c>
      <c r="D103" s="6"/>
      <c r="E103" s="11"/>
      <c r="F103" s="11"/>
      <c r="G103" s="11"/>
      <c r="H103" s="11"/>
      <c r="M103" s="4" t="str">
        <f t="array" ref="M103">iferror(transpose(INDIRECT(SUBSTITUTE($C103," ","_"))),"")</f>
        <v/>
      </c>
    </row>
    <row r="104" ht="15.75" customHeight="1">
      <c r="A104" s="6"/>
      <c r="B104" s="8"/>
      <c r="C104" s="4" t="str">
        <f t="array" ref="C104">iferror(INDEX(Fixtures_Results!$E$2:$F$12,MATCH($A104,Fixtures_Results!$A$2:$A$12,0),MATCH("BatTeam"&amp;2*1/$B104,Fixtures_Results!$E$1:$F$1,0)),"")</f>
        <v/>
      </c>
      <c r="D104" s="6"/>
      <c r="E104" s="11"/>
      <c r="F104" s="11"/>
      <c r="G104" s="11"/>
      <c r="H104" s="11"/>
      <c r="M104" s="4" t="str">
        <f t="array" ref="M104">iferror(transpose(INDIRECT(SUBSTITUTE($C104," ","_"))),"")</f>
        <v/>
      </c>
    </row>
    <row r="105" ht="15.75" customHeight="1">
      <c r="A105" s="6"/>
      <c r="B105" s="8"/>
      <c r="C105" s="4" t="str">
        <f t="array" ref="C105">iferror(INDEX(Fixtures_Results!$E$2:$F$12,MATCH($A105,Fixtures_Results!$A$2:$A$12,0),MATCH("BatTeam"&amp;2*1/$B105,Fixtures_Results!$E$1:$F$1,0)),"")</f>
        <v/>
      </c>
      <c r="D105" s="6"/>
      <c r="E105" s="11"/>
      <c r="F105" s="11"/>
      <c r="G105" s="11"/>
      <c r="H105" s="11"/>
      <c r="M105" s="4" t="str">
        <f t="array" ref="M105">iferror(transpose(INDIRECT(SUBSTITUTE($C105," ","_"))),"")</f>
        <v/>
      </c>
    </row>
    <row r="106" ht="15.75" customHeight="1">
      <c r="A106" s="6"/>
      <c r="B106" s="8"/>
      <c r="C106" s="4" t="str">
        <f t="array" ref="C106">iferror(INDEX(Fixtures_Results!$E$2:$F$12,MATCH($A106,Fixtures_Results!$A$2:$A$12,0),MATCH("BatTeam"&amp;2*1/$B106,Fixtures_Results!$E$1:$F$1,0)),"")</f>
        <v/>
      </c>
      <c r="D106" s="6"/>
      <c r="E106" s="11"/>
      <c r="F106" s="11"/>
      <c r="G106" s="11"/>
      <c r="H106" s="11"/>
      <c r="M106" s="4" t="str">
        <f t="array" ref="M106">iferror(transpose(INDIRECT(SUBSTITUTE($C106," ","_"))),"")</f>
        <v/>
      </c>
    </row>
    <row r="107" ht="15.75" customHeight="1">
      <c r="A107" s="6"/>
      <c r="B107" s="8"/>
      <c r="C107" s="4" t="str">
        <f t="array" ref="C107">iferror(INDEX(Fixtures_Results!$E$2:$F$12,MATCH($A107,Fixtures_Results!$A$2:$A$12,0),MATCH("BatTeam"&amp;2*1/$B107,Fixtures_Results!$E$1:$F$1,0)),"")</f>
        <v/>
      </c>
      <c r="D107" s="6"/>
      <c r="E107" s="11"/>
      <c r="F107" s="11"/>
      <c r="G107" s="11"/>
      <c r="H107" s="11"/>
      <c r="M107" s="4" t="str">
        <f t="array" ref="M107">iferror(transpose(INDIRECT(SUBSTITUTE($C107," ","_"))),"")</f>
        <v/>
      </c>
    </row>
    <row r="108" ht="15.75" customHeight="1">
      <c r="A108" s="6"/>
      <c r="B108" s="8"/>
      <c r="C108" s="4" t="str">
        <f t="array" ref="C108">iferror(INDEX(Fixtures_Results!$E$2:$F$12,MATCH($A108,Fixtures_Results!$A$2:$A$12,0),MATCH("BatTeam"&amp;2*1/$B108,Fixtures_Results!$E$1:$F$1,0)),"")</f>
        <v/>
      </c>
      <c r="D108" s="6"/>
      <c r="E108" s="11"/>
      <c r="F108" s="11"/>
      <c r="G108" s="11"/>
      <c r="H108" s="11"/>
      <c r="M108" s="4" t="str">
        <f t="array" ref="M108">iferror(transpose(INDIRECT(SUBSTITUTE($C108," ","_"))),"")</f>
        <v/>
      </c>
    </row>
    <row r="109" ht="15.75" customHeight="1">
      <c r="A109" s="6"/>
      <c r="B109" s="8"/>
      <c r="C109" s="4" t="str">
        <f t="array" ref="C109">iferror(INDEX(Fixtures_Results!$E$2:$F$12,MATCH($A109,Fixtures_Results!$A$2:$A$12,0),MATCH("BatTeam"&amp;2*1/$B109,Fixtures_Results!$E$1:$F$1,0)),"")</f>
        <v/>
      </c>
      <c r="D109" s="6"/>
      <c r="E109" s="11"/>
      <c r="F109" s="11"/>
      <c r="G109" s="11"/>
      <c r="H109" s="11"/>
      <c r="M109" s="4" t="str">
        <f t="array" ref="M109">iferror(transpose(INDIRECT(SUBSTITUTE($C109," ","_"))),"")</f>
        <v/>
      </c>
    </row>
    <row r="110" ht="15.75" customHeight="1">
      <c r="A110" s="6"/>
      <c r="B110" s="8"/>
      <c r="C110" s="4" t="str">
        <f t="array" ref="C110">iferror(INDEX(Fixtures_Results!$E$2:$F$12,MATCH($A110,Fixtures_Results!$A$2:$A$12,0),MATCH("BatTeam"&amp;2*1/$B110,Fixtures_Results!$E$1:$F$1,0)),"")</f>
        <v/>
      </c>
      <c r="D110" s="6"/>
      <c r="E110" s="11"/>
      <c r="F110" s="11"/>
      <c r="G110" s="11"/>
      <c r="H110" s="11"/>
      <c r="M110" s="4" t="str">
        <f t="array" ref="M110">iferror(transpose(INDIRECT(SUBSTITUTE($C110," ","_"))),"")</f>
        <v/>
      </c>
    </row>
    <row r="111" ht="15.75" customHeight="1">
      <c r="A111" s="6"/>
      <c r="B111" s="8"/>
      <c r="C111" s="4" t="str">
        <f t="array" ref="C111">iferror(INDEX(Fixtures_Results!$E$2:$F$12,MATCH($A111,Fixtures_Results!$A$2:$A$12,0),MATCH("BatTeam"&amp;2*1/$B111,Fixtures_Results!$E$1:$F$1,0)),"")</f>
        <v/>
      </c>
      <c r="D111" s="6"/>
      <c r="E111" s="11"/>
      <c r="F111" s="11"/>
      <c r="G111" s="11"/>
      <c r="H111" s="11"/>
      <c r="M111" s="4" t="str">
        <f t="array" ref="M111">iferror(transpose(INDIRECT(SUBSTITUTE($C111," ","_"))),"")</f>
        <v/>
      </c>
    </row>
    <row r="112" ht="15.75" customHeight="1">
      <c r="A112" s="6"/>
      <c r="B112" s="8"/>
      <c r="C112" s="4" t="str">
        <f t="array" ref="C112">iferror(INDEX(Fixtures_Results!$E$2:$F$12,MATCH($A112,Fixtures_Results!$A$2:$A$12,0),MATCH("BatTeam"&amp;2*1/$B112,Fixtures_Results!$E$1:$F$1,0)),"")</f>
        <v/>
      </c>
      <c r="D112" s="6"/>
      <c r="E112" s="11"/>
      <c r="F112" s="11"/>
      <c r="G112" s="11"/>
      <c r="H112" s="11"/>
      <c r="M112" s="4" t="str">
        <f t="array" ref="M112">iferror(transpose(INDIRECT(SUBSTITUTE($C112," ","_"))),"")</f>
        <v/>
      </c>
    </row>
    <row r="113" ht="15.75" customHeight="1">
      <c r="A113" s="6"/>
      <c r="B113" s="8"/>
      <c r="C113" s="4" t="str">
        <f t="array" ref="C113">iferror(INDEX(Fixtures_Results!$E$2:$F$12,MATCH($A113,Fixtures_Results!$A$2:$A$12,0),MATCH("BatTeam"&amp;2*1/$B113,Fixtures_Results!$E$1:$F$1,0)),"")</f>
        <v/>
      </c>
      <c r="D113" s="6"/>
      <c r="E113" s="11"/>
      <c r="F113" s="11"/>
      <c r="G113" s="11"/>
      <c r="H113" s="11"/>
      <c r="M113" s="4" t="str">
        <f t="array" ref="M113">iferror(transpose(INDIRECT(SUBSTITUTE($C113," ","_"))),"")</f>
        <v/>
      </c>
    </row>
    <row r="114" ht="15.75" customHeight="1">
      <c r="A114" s="6"/>
      <c r="B114" s="8"/>
      <c r="C114" s="4" t="str">
        <f t="array" ref="C114">iferror(INDEX(Fixtures_Results!$E$2:$F$12,MATCH($A114,Fixtures_Results!$A$2:$A$12,0),MATCH("BatTeam"&amp;2*1/$B114,Fixtures_Results!$E$1:$F$1,0)),"")</f>
        <v/>
      </c>
      <c r="D114" s="6"/>
      <c r="E114" s="11"/>
      <c r="F114" s="11"/>
      <c r="G114" s="11"/>
      <c r="H114" s="11"/>
      <c r="M114" s="4" t="str">
        <f t="array" ref="M114">iferror(transpose(INDIRECT(SUBSTITUTE($C114," ","_"))),"")</f>
        <v/>
      </c>
    </row>
    <row r="115" ht="15.75" customHeight="1">
      <c r="A115" s="6"/>
      <c r="B115" s="8"/>
      <c r="C115" s="4" t="str">
        <f t="array" ref="C115">iferror(INDEX(Fixtures_Results!$E$2:$F$12,MATCH($A115,Fixtures_Results!$A$2:$A$12,0),MATCH("BatTeam"&amp;2*1/$B115,Fixtures_Results!$E$1:$F$1,0)),"")</f>
        <v/>
      </c>
      <c r="D115" s="6"/>
      <c r="E115" s="11"/>
      <c r="F115" s="11"/>
      <c r="G115" s="11"/>
      <c r="H115" s="11"/>
      <c r="M115" s="4" t="str">
        <f t="array" ref="M115">iferror(transpose(INDIRECT(SUBSTITUTE($C115," ","_"))),"")</f>
        <v/>
      </c>
    </row>
    <row r="116" ht="15.75" customHeight="1">
      <c r="A116" s="6"/>
      <c r="B116" s="8"/>
      <c r="C116" s="4" t="str">
        <f t="array" ref="C116">iferror(INDEX(Fixtures_Results!$E$2:$F$12,MATCH($A116,Fixtures_Results!$A$2:$A$12,0),MATCH("BatTeam"&amp;2*1/$B116,Fixtures_Results!$E$1:$F$1,0)),"")</f>
        <v/>
      </c>
      <c r="D116" s="6"/>
      <c r="E116" s="11"/>
      <c r="F116" s="11"/>
      <c r="G116" s="11"/>
      <c r="H116" s="11"/>
      <c r="M116" s="4" t="str">
        <f t="array" ref="M116">iferror(transpose(INDIRECT(SUBSTITUTE($C116," ","_"))),"")</f>
        <v/>
      </c>
    </row>
    <row r="117" ht="15.75" customHeight="1">
      <c r="A117" s="6"/>
      <c r="B117" s="8"/>
      <c r="C117" s="4" t="str">
        <f t="array" ref="C117">iferror(INDEX(Fixtures_Results!$E$2:$F$12,MATCH($A117,Fixtures_Results!$A$2:$A$12,0),MATCH("BatTeam"&amp;2*1/$B117,Fixtures_Results!$E$1:$F$1,0)),"")</f>
        <v/>
      </c>
      <c r="D117" s="6"/>
      <c r="E117" s="11"/>
      <c r="F117" s="11"/>
      <c r="G117" s="11"/>
      <c r="H117" s="11"/>
      <c r="M117" s="4" t="str">
        <f t="array" ref="M117">iferror(transpose(INDIRECT(SUBSTITUTE($C117," ","_"))),"")</f>
        <v/>
      </c>
    </row>
    <row r="118" ht="15.75" customHeight="1">
      <c r="A118" s="6"/>
      <c r="B118" s="8"/>
      <c r="C118" s="4" t="str">
        <f t="array" ref="C118">iferror(INDEX(Fixtures_Results!$E$2:$F$12,MATCH($A118,Fixtures_Results!$A$2:$A$12,0),MATCH("BatTeam"&amp;2*1/$B118,Fixtures_Results!$E$1:$F$1,0)),"")</f>
        <v/>
      </c>
      <c r="D118" s="6"/>
      <c r="E118" s="11"/>
      <c r="F118" s="11"/>
      <c r="G118" s="11"/>
      <c r="H118" s="11"/>
      <c r="M118" s="4" t="str">
        <f t="array" ref="M118">iferror(transpose(INDIRECT(SUBSTITUTE($C118," ","_"))),"")</f>
        <v/>
      </c>
    </row>
    <row r="119" ht="15.75" customHeight="1">
      <c r="A119" s="6"/>
      <c r="B119" s="8"/>
      <c r="C119" s="4" t="str">
        <f t="array" ref="C119">iferror(INDEX(Fixtures_Results!$E$2:$F$12,MATCH($A119,Fixtures_Results!$A$2:$A$12,0),MATCH("BatTeam"&amp;2*1/$B119,Fixtures_Results!$E$1:$F$1,0)),"")</f>
        <v/>
      </c>
      <c r="D119" s="6"/>
      <c r="E119" s="11"/>
      <c r="F119" s="11"/>
      <c r="G119" s="11"/>
      <c r="H119" s="11"/>
      <c r="M119" s="4" t="str">
        <f t="array" ref="M119">iferror(transpose(INDIRECT(SUBSTITUTE($C119," ","_"))),"")</f>
        <v/>
      </c>
    </row>
    <row r="120" ht="15.75" customHeight="1">
      <c r="A120" s="6"/>
      <c r="B120" s="8"/>
      <c r="C120" s="4" t="str">
        <f t="array" ref="C120">iferror(INDEX(Fixtures_Results!$E$2:$F$12,MATCH($A120,Fixtures_Results!$A$2:$A$12,0),MATCH("BatTeam"&amp;2*1/$B120,Fixtures_Results!$E$1:$F$1,0)),"")</f>
        <v/>
      </c>
      <c r="D120" s="6"/>
      <c r="E120" s="11"/>
      <c r="F120" s="11"/>
      <c r="G120" s="11"/>
      <c r="H120" s="11"/>
      <c r="M120" s="4" t="str">
        <f t="array" ref="M120">iferror(transpose(INDIRECT(SUBSTITUTE($C120," ","_"))),"")</f>
        <v/>
      </c>
    </row>
    <row r="121" ht="15.75" customHeight="1">
      <c r="A121" s="6"/>
      <c r="B121" s="8"/>
      <c r="C121" s="4" t="str">
        <f t="array" ref="C121">iferror(INDEX(Fixtures_Results!$E$2:$F$12,MATCH($A121,Fixtures_Results!$A$2:$A$12,0),MATCH("BatTeam"&amp;2*1/$B121,Fixtures_Results!$E$1:$F$1,0)),"")</f>
        <v/>
      </c>
      <c r="D121" s="6"/>
      <c r="E121" s="11"/>
      <c r="F121" s="11"/>
      <c r="G121" s="11"/>
      <c r="H121" s="11"/>
      <c r="M121" s="4" t="str">
        <f t="array" ref="M121">iferror(transpose(INDIRECT(SUBSTITUTE($C121," ","_"))),"")</f>
        <v/>
      </c>
    </row>
    <row r="122" ht="15.75" customHeight="1">
      <c r="A122" s="6"/>
      <c r="B122" s="8"/>
      <c r="C122" s="4" t="str">
        <f t="array" ref="C122">iferror(INDEX(Fixtures_Results!$E$2:$F$12,MATCH($A122,Fixtures_Results!$A$2:$A$12,0),MATCH("BatTeam"&amp;2*1/$B122,Fixtures_Results!$E$1:$F$1,0)),"")</f>
        <v/>
      </c>
      <c r="D122" s="6"/>
      <c r="E122" s="11"/>
      <c r="F122" s="11"/>
      <c r="G122" s="11"/>
      <c r="H122" s="11"/>
      <c r="M122" s="4" t="str">
        <f t="array" ref="M122">iferror(transpose(INDIRECT(SUBSTITUTE($C122," ","_"))),"")</f>
        <v/>
      </c>
    </row>
    <row r="123" ht="15.75" customHeight="1">
      <c r="A123" s="6"/>
      <c r="B123" s="8"/>
      <c r="C123" s="4" t="str">
        <f t="array" ref="C123">iferror(INDEX(Fixtures_Results!$E$2:$F$12,MATCH($A123,Fixtures_Results!$A$2:$A$12,0),MATCH("BatTeam"&amp;2*1/$B123,Fixtures_Results!$E$1:$F$1,0)),"")</f>
        <v/>
      </c>
      <c r="D123" s="6"/>
      <c r="E123" s="11"/>
      <c r="F123" s="11"/>
      <c r="G123" s="11"/>
      <c r="H123" s="11"/>
      <c r="M123" s="4" t="str">
        <f t="array" ref="M123">iferror(transpose(INDIRECT(SUBSTITUTE($C123," ","_"))),"")</f>
        <v/>
      </c>
    </row>
    <row r="124" ht="15.75" customHeight="1">
      <c r="A124" s="6"/>
      <c r="B124" s="8"/>
      <c r="C124" s="4" t="str">
        <f t="array" ref="C124">iferror(INDEX(Fixtures_Results!$E$2:$F$12,MATCH($A124,Fixtures_Results!$A$2:$A$12,0),MATCH("BatTeam"&amp;2*1/$B124,Fixtures_Results!$E$1:$F$1,0)),"")</f>
        <v/>
      </c>
      <c r="D124" s="6"/>
      <c r="E124" s="11"/>
      <c r="F124" s="11"/>
      <c r="G124" s="11"/>
      <c r="H124" s="11"/>
      <c r="M124" s="4" t="str">
        <f t="array" ref="M124">iferror(transpose(INDIRECT(SUBSTITUTE($C124," ","_"))),"")</f>
        <v/>
      </c>
    </row>
    <row r="125" ht="15.75" customHeight="1">
      <c r="A125" s="6"/>
      <c r="B125" s="8"/>
      <c r="C125" s="4" t="str">
        <f t="array" ref="C125">iferror(INDEX(Fixtures_Results!$E$2:$F$12,MATCH($A125,Fixtures_Results!$A$2:$A$12,0),MATCH("BatTeam"&amp;2*1/$B125,Fixtures_Results!$E$1:$F$1,0)),"")</f>
        <v/>
      </c>
      <c r="D125" s="6"/>
      <c r="E125" s="11"/>
      <c r="F125" s="11"/>
      <c r="G125" s="11"/>
      <c r="H125" s="11"/>
      <c r="M125" s="4" t="str">
        <f t="array" ref="M125">iferror(transpose(INDIRECT(SUBSTITUTE($C125," ","_"))),"")</f>
        <v/>
      </c>
    </row>
    <row r="126" ht="15.75" customHeight="1">
      <c r="A126" s="6"/>
      <c r="B126" s="8"/>
      <c r="C126" s="4" t="str">
        <f t="array" ref="C126">iferror(INDEX(Fixtures_Results!$E$2:$F$12,MATCH($A126,Fixtures_Results!$A$2:$A$12,0),MATCH("BatTeam"&amp;2*1/$B126,Fixtures_Results!$E$1:$F$1,0)),"")</f>
        <v/>
      </c>
      <c r="D126" s="6"/>
      <c r="E126" s="11"/>
      <c r="F126" s="11"/>
      <c r="G126" s="11"/>
      <c r="H126" s="11"/>
      <c r="M126" s="4" t="str">
        <f t="array" ref="M126">iferror(transpose(INDIRECT(SUBSTITUTE($C126," ","_"))),"")</f>
        <v/>
      </c>
    </row>
    <row r="127" ht="15.75" customHeight="1">
      <c r="A127" s="6"/>
      <c r="B127" s="8"/>
      <c r="C127" s="4" t="str">
        <f t="array" ref="C127">iferror(INDEX(Fixtures_Results!$E$2:$F$12,MATCH($A127,Fixtures_Results!$A$2:$A$12,0),MATCH("BatTeam"&amp;2*1/$B127,Fixtures_Results!$E$1:$F$1,0)),"")</f>
        <v/>
      </c>
      <c r="D127" s="6"/>
      <c r="E127" s="11"/>
      <c r="F127" s="11"/>
      <c r="G127" s="11"/>
      <c r="H127" s="11"/>
      <c r="M127" s="4" t="str">
        <f t="array" ref="M127">iferror(transpose(INDIRECT(SUBSTITUTE($C127," ","_"))),"")</f>
        <v/>
      </c>
    </row>
    <row r="128" ht="15.75" customHeight="1">
      <c r="A128" s="6"/>
      <c r="B128" s="8"/>
      <c r="C128" s="4" t="str">
        <f t="array" ref="C128">iferror(INDEX(Fixtures_Results!$E$2:$F$12,MATCH($A128,Fixtures_Results!$A$2:$A$12,0),MATCH("BatTeam"&amp;2*1/$B128,Fixtures_Results!$E$1:$F$1,0)),"")</f>
        <v/>
      </c>
      <c r="D128" s="6"/>
      <c r="E128" s="11"/>
      <c r="F128" s="11"/>
      <c r="G128" s="11"/>
      <c r="H128" s="11"/>
      <c r="M128" s="4" t="str">
        <f t="array" ref="M128">iferror(transpose(INDIRECT(SUBSTITUTE($C128," ","_"))),"")</f>
        <v/>
      </c>
    </row>
    <row r="129" ht="15.75" customHeight="1">
      <c r="A129" s="6"/>
      <c r="B129" s="8"/>
      <c r="C129" s="4" t="str">
        <f t="array" ref="C129">iferror(INDEX(Fixtures_Results!$E$2:$F$12,MATCH($A129,Fixtures_Results!$A$2:$A$12,0),MATCH("BatTeam"&amp;2*1/$B129,Fixtures_Results!$E$1:$F$1,0)),"")</f>
        <v/>
      </c>
      <c r="D129" s="6"/>
      <c r="E129" s="11"/>
      <c r="F129" s="11"/>
      <c r="G129" s="11"/>
      <c r="H129" s="11"/>
      <c r="M129" s="4" t="str">
        <f t="array" ref="M129">iferror(transpose(INDIRECT(SUBSTITUTE($C129," ","_"))),"")</f>
        <v/>
      </c>
    </row>
    <row r="130" ht="15.75" customHeight="1">
      <c r="A130" s="6"/>
      <c r="B130" s="8"/>
      <c r="C130" s="4" t="str">
        <f t="array" ref="C130">iferror(INDEX(Fixtures_Results!$E$2:$F$12,MATCH($A130,Fixtures_Results!$A$2:$A$12,0),MATCH("BatTeam"&amp;2*1/$B130,Fixtures_Results!$E$1:$F$1,0)),"")</f>
        <v/>
      </c>
      <c r="D130" s="6"/>
      <c r="E130" s="11"/>
      <c r="F130" s="11"/>
      <c r="G130" s="11"/>
      <c r="H130" s="11"/>
      <c r="M130" s="4" t="str">
        <f t="array" ref="M130">iferror(transpose(INDIRECT(SUBSTITUTE($C130," ","_"))),"")</f>
        <v/>
      </c>
    </row>
    <row r="131" ht="15.75" customHeight="1">
      <c r="A131" s="6"/>
      <c r="B131" s="8"/>
      <c r="C131" s="4" t="str">
        <f t="array" ref="C131">iferror(INDEX(Fixtures_Results!$E$2:$F$12,MATCH($A131,Fixtures_Results!$A$2:$A$12,0),MATCH("BatTeam"&amp;2*1/$B131,Fixtures_Results!$E$1:$F$1,0)),"")</f>
        <v/>
      </c>
      <c r="D131" s="6"/>
      <c r="E131" s="11"/>
      <c r="F131" s="11"/>
      <c r="G131" s="11"/>
      <c r="H131" s="11"/>
      <c r="M131" s="4" t="str">
        <f t="array" ref="M131">iferror(transpose(INDIRECT(SUBSTITUTE($C131," ","_"))),"")</f>
        <v/>
      </c>
    </row>
    <row r="132" ht="15.75" customHeight="1">
      <c r="A132" s="6"/>
      <c r="B132" s="8"/>
      <c r="C132" s="4" t="str">
        <f t="array" ref="C132">iferror(INDEX(Fixtures_Results!$E$2:$F$12,MATCH($A132,Fixtures_Results!$A$2:$A$12,0),MATCH("BatTeam"&amp;2*1/$B132,Fixtures_Results!$E$1:$F$1,0)),"")</f>
        <v/>
      </c>
      <c r="D132" s="6"/>
      <c r="E132" s="11"/>
      <c r="F132" s="11"/>
      <c r="G132" s="11"/>
      <c r="H132" s="11"/>
      <c r="M132" s="4" t="str">
        <f t="array" ref="M132">iferror(transpose(INDIRECT(SUBSTITUTE($C132," ","_"))),"")</f>
        <v/>
      </c>
    </row>
    <row r="133" ht="15.75" customHeight="1">
      <c r="A133" s="6"/>
      <c r="B133" s="8"/>
      <c r="C133" s="4" t="str">
        <f t="array" ref="C133">iferror(INDEX(Fixtures_Results!$E$2:$F$12,MATCH($A133,Fixtures_Results!$A$2:$A$12,0),MATCH("BatTeam"&amp;2*1/$B133,Fixtures_Results!$E$1:$F$1,0)),"")</f>
        <v/>
      </c>
      <c r="D133" s="6"/>
      <c r="E133" s="11"/>
      <c r="F133" s="11"/>
      <c r="G133" s="11"/>
      <c r="H133" s="11"/>
      <c r="M133" s="4" t="str">
        <f t="array" ref="M133">iferror(transpose(INDIRECT(SUBSTITUTE($C133," ","_"))),"")</f>
        <v/>
      </c>
    </row>
    <row r="134" ht="15.75" customHeight="1">
      <c r="A134" s="6"/>
      <c r="B134" s="8"/>
      <c r="C134" s="4" t="str">
        <f t="array" ref="C134">iferror(INDEX(Fixtures_Results!$E$2:$F$12,MATCH($A134,Fixtures_Results!$A$2:$A$12,0),MATCH("BatTeam"&amp;2*1/$B134,Fixtures_Results!$E$1:$F$1,0)),"")</f>
        <v/>
      </c>
      <c r="D134" s="6"/>
      <c r="E134" s="11"/>
      <c r="F134" s="11"/>
      <c r="G134" s="11"/>
      <c r="H134" s="11"/>
      <c r="M134" s="4" t="str">
        <f t="array" ref="M134">iferror(transpose(INDIRECT(SUBSTITUTE($C134," ","_"))),"")</f>
        <v/>
      </c>
    </row>
    <row r="135" ht="15.75" customHeight="1">
      <c r="A135" s="6"/>
      <c r="B135" s="8"/>
      <c r="C135" s="4" t="str">
        <f t="array" ref="C135">iferror(INDEX(Fixtures_Results!$E$2:$F$12,MATCH($A135,Fixtures_Results!$A$2:$A$12,0),MATCH("BatTeam"&amp;2*1/$B135,Fixtures_Results!$E$1:$F$1,0)),"")</f>
        <v/>
      </c>
      <c r="D135" s="6"/>
      <c r="E135" s="11"/>
      <c r="F135" s="11"/>
      <c r="G135" s="11"/>
      <c r="H135" s="11"/>
      <c r="M135" s="4" t="str">
        <f t="array" ref="M135">iferror(transpose(INDIRECT(SUBSTITUTE($C135," ","_"))),"")</f>
        <v/>
      </c>
    </row>
    <row r="136" ht="15.75" customHeight="1">
      <c r="A136" s="6"/>
      <c r="B136" s="8"/>
      <c r="C136" s="4" t="str">
        <f t="array" ref="C136">iferror(INDEX(Fixtures_Results!$E$2:$F$12,MATCH($A136,Fixtures_Results!$A$2:$A$12,0),MATCH("BatTeam"&amp;2*1/$B136,Fixtures_Results!$E$1:$F$1,0)),"")</f>
        <v/>
      </c>
      <c r="D136" s="6"/>
      <c r="E136" s="11"/>
      <c r="F136" s="11"/>
      <c r="G136" s="11"/>
      <c r="H136" s="11"/>
      <c r="M136" s="4" t="str">
        <f t="array" ref="M136">iferror(transpose(INDIRECT(SUBSTITUTE($C136," ","_"))),"")</f>
        <v/>
      </c>
    </row>
    <row r="137" ht="15.75" customHeight="1">
      <c r="A137" s="6"/>
      <c r="B137" s="8"/>
      <c r="C137" s="4" t="str">
        <f t="array" ref="C137">iferror(INDEX(Fixtures_Results!$E$2:$F$12,MATCH($A137,Fixtures_Results!$A$2:$A$12,0),MATCH("BatTeam"&amp;2*1/$B137,Fixtures_Results!$E$1:$F$1,0)),"")</f>
        <v/>
      </c>
      <c r="D137" s="6"/>
      <c r="E137" s="11"/>
      <c r="F137" s="11"/>
      <c r="G137" s="11"/>
      <c r="H137" s="11"/>
      <c r="M137" s="4" t="str">
        <f t="array" ref="M137">iferror(transpose(INDIRECT(SUBSTITUTE($C137," ","_"))),"")</f>
        <v/>
      </c>
    </row>
    <row r="138" ht="15.75" customHeight="1">
      <c r="A138" s="6"/>
      <c r="B138" s="8"/>
      <c r="C138" s="4" t="str">
        <f t="array" ref="C138">iferror(INDEX(Fixtures_Results!$E$2:$F$12,MATCH($A138,Fixtures_Results!$A$2:$A$12,0),MATCH("BatTeam"&amp;2*1/$B138,Fixtures_Results!$E$1:$F$1,0)),"")</f>
        <v/>
      </c>
      <c r="D138" s="6"/>
      <c r="E138" s="11"/>
      <c r="F138" s="11"/>
      <c r="G138" s="11"/>
      <c r="H138" s="11"/>
      <c r="M138" s="4" t="str">
        <f t="array" ref="M138">iferror(transpose(INDIRECT(SUBSTITUTE($C138," ","_"))),"")</f>
        <v/>
      </c>
    </row>
    <row r="139" ht="15.75" customHeight="1">
      <c r="A139" s="6"/>
      <c r="B139" s="8"/>
      <c r="C139" s="4" t="str">
        <f t="array" ref="C139">iferror(INDEX(Fixtures_Results!$E$2:$F$12,MATCH($A139,Fixtures_Results!$A$2:$A$12,0),MATCH("BatTeam"&amp;2*1/$B139,Fixtures_Results!$E$1:$F$1,0)),"")</f>
        <v/>
      </c>
      <c r="D139" s="6"/>
      <c r="E139" s="11"/>
      <c r="F139" s="11"/>
      <c r="G139" s="11"/>
      <c r="H139" s="11"/>
      <c r="M139" s="4" t="str">
        <f t="array" ref="M139">iferror(transpose(INDIRECT(SUBSTITUTE($C139," ","_"))),"")</f>
        <v/>
      </c>
    </row>
    <row r="140" ht="15.75" customHeight="1">
      <c r="A140" s="6"/>
      <c r="B140" s="8"/>
      <c r="C140" s="4" t="str">
        <f t="array" ref="C140">iferror(INDEX(Fixtures_Results!$E$2:$F$12,MATCH($A140,Fixtures_Results!$A$2:$A$12,0),MATCH("BatTeam"&amp;2*1/$B140,Fixtures_Results!$E$1:$F$1,0)),"")</f>
        <v/>
      </c>
      <c r="D140" s="6"/>
      <c r="E140" s="11"/>
      <c r="F140" s="11"/>
      <c r="G140" s="11"/>
      <c r="H140" s="11"/>
      <c r="M140" s="4" t="str">
        <f t="array" ref="M140">iferror(transpose(INDIRECT(SUBSTITUTE($C140," ","_"))),"")</f>
        <v/>
      </c>
    </row>
    <row r="141" ht="15.75" customHeight="1">
      <c r="A141" s="6"/>
      <c r="B141" s="8"/>
      <c r="C141" s="4" t="str">
        <f t="array" ref="C141">iferror(INDEX(Fixtures_Results!$E$2:$F$12,MATCH($A141,Fixtures_Results!$A$2:$A$12,0),MATCH("BatTeam"&amp;2*1/$B141,Fixtures_Results!$E$1:$F$1,0)),"")</f>
        <v/>
      </c>
      <c r="D141" s="6"/>
      <c r="E141" s="11"/>
      <c r="F141" s="11"/>
      <c r="G141" s="11"/>
      <c r="H141" s="11"/>
      <c r="M141" s="4" t="str">
        <f t="array" ref="M141">iferror(transpose(INDIRECT(SUBSTITUTE($C141," ","_"))),"")</f>
        <v/>
      </c>
    </row>
    <row r="142" ht="15.75" customHeight="1">
      <c r="A142" s="6"/>
      <c r="B142" s="8"/>
      <c r="C142" s="4" t="str">
        <f t="array" ref="C142">iferror(INDEX(Fixtures_Results!$E$2:$F$12,MATCH($A142,Fixtures_Results!$A$2:$A$12,0),MATCH("BatTeam"&amp;2*1/$B142,Fixtures_Results!$E$1:$F$1,0)),"")</f>
        <v/>
      </c>
      <c r="D142" s="6"/>
      <c r="E142" s="11"/>
      <c r="F142" s="11"/>
      <c r="G142" s="11"/>
      <c r="H142" s="11"/>
      <c r="M142" s="4" t="str">
        <f t="array" ref="M142">iferror(transpose(INDIRECT(SUBSTITUTE($C142," ","_"))),"")</f>
        <v/>
      </c>
    </row>
    <row r="143" ht="15.75" customHeight="1">
      <c r="A143" s="6"/>
      <c r="B143" s="8"/>
      <c r="C143" s="4" t="str">
        <f t="array" ref="C143">iferror(INDEX(Fixtures_Results!$E$2:$F$12,MATCH($A143,Fixtures_Results!$A$2:$A$12,0),MATCH("BatTeam"&amp;2*1/$B143,Fixtures_Results!$E$1:$F$1,0)),"")</f>
        <v/>
      </c>
      <c r="D143" s="6"/>
      <c r="E143" s="11"/>
      <c r="F143" s="11"/>
      <c r="G143" s="11"/>
      <c r="H143" s="11"/>
      <c r="M143" s="4" t="str">
        <f t="array" ref="M143">iferror(transpose(INDIRECT(SUBSTITUTE($C143," ","_"))),"")</f>
        <v/>
      </c>
    </row>
    <row r="144" ht="15.75" customHeight="1">
      <c r="A144" s="6"/>
      <c r="B144" s="8"/>
      <c r="C144" s="4" t="str">
        <f t="array" ref="C144">iferror(INDEX(Fixtures_Results!$E$2:$F$12,MATCH($A144,Fixtures_Results!$A$2:$A$12,0),MATCH("BatTeam"&amp;2*1/$B144,Fixtures_Results!$E$1:$F$1,0)),"")</f>
        <v/>
      </c>
      <c r="D144" s="6"/>
      <c r="E144" s="11"/>
      <c r="F144" s="11"/>
      <c r="G144" s="11"/>
      <c r="H144" s="11"/>
      <c r="M144" s="4" t="str">
        <f t="array" ref="M144">iferror(transpose(INDIRECT(SUBSTITUTE($C144," ","_"))),"")</f>
        <v/>
      </c>
    </row>
    <row r="145" ht="15.75" customHeight="1">
      <c r="A145" s="6"/>
      <c r="B145" s="8"/>
      <c r="C145" s="4" t="str">
        <f t="array" ref="C145">iferror(INDEX(Fixtures_Results!$E$2:$F$12,MATCH($A145,Fixtures_Results!$A$2:$A$12,0),MATCH("BatTeam"&amp;2*1/$B145,Fixtures_Results!$E$1:$F$1,0)),"")</f>
        <v/>
      </c>
      <c r="D145" s="6"/>
      <c r="E145" s="11"/>
      <c r="F145" s="11"/>
      <c r="G145" s="11"/>
      <c r="H145" s="11"/>
      <c r="M145" s="4" t="str">
        <f t="array" ref="M145">iferror(transpose(INDIRECT(SUBSTITUTE($C145," ","_"))),"")</f>
        <v/>
      </c>
    </row>
    <row r="146" ht="15.75" customHeight="1">
      <c r="A146" s="6"/>
      <c r="B146" s="8"/>
      <c r="C146" s="4" t="str">
        <f t="array" ref="C146">iferror(INDEX(Fixtures_Results!$E$2:$F$12,MATCH($A146,Fixtures_Results!$A$2:$A$12,0),MATCH("BatTeam"&amp;2*1/$B146,Fixtures_Results!$E$1:$F$1,0)),"")</f>
        <v/>
      </c>
      <c r="D146" s="6"/>
      <c r="E146" s="11"/>
      <c r="F146" s="11"/>
      <c r="G146" s="11"/>
      <c r="H146" s="11"/>
      <c r="M146" s="4" t="str">
        <f t="array" ref="M146">iferror(transpose(INDIRECT(SUBSTITUTE($C146," ","_"))),"")</f>
        <v/>
      </c>
    </row>
    <row r="147" ht="15.75" customHeight="1">
      <c r="A147" s="6"/>
      <c r="B147" s="8"/>
      <c r="C147" s="4" t="str">
        <f t="array" ref="C147">iferror(INDEX(Fixtures_Results!$E$2:$F$12,MATCH($A147,Fixtures_Results!$A$2:$A$12,0),MATCH("BatTeam"&amp;2*1/$B147,Fixtures_Results!$E$1:$F$1,0)),"")</f>
        <v/>
      </c>
      <c r="D147" s="6"/>
      <c r="E147" s="11"/>
      <c r="F147" s="11"/>
      <c r="G147" s="11"/>
      <c r="H147" s="11"/>
      <c r="M147" s="4" t="str">
        <f t="array" ref="M147">iferror(transpose(INDIRECT(SUBSTITUTE($C147," ","_"))),"")</f>
        <v/>
      </c>
    </row>
    <row r="148" ht="15.75" customHeight="1">
      <c r="A148" s="6"/>
      <c r="B148" s="8"/>
      <c r="C148" s="4" t="str">
        <f t="array" ref="C148">iferror(INDEX(Fixtures_Results!$E$2:$F$12,MATCH($A148,Fixtures_Results!$A$2:$A$12,0),MATCH("BatTeam"&amp;2*1/$B148,Fixtures_Results!$E$1:$F$1,0)),"")</f>
        <v/>
      </c>
      <c r="D148" s="6"/>
      <c r="E148" s="11"/>
      <c r="F148" s="11"/>
      <c r="G148" s="11"/>
      <c r="H148" s="11"/>
      <c r="M148" s="4" t="str">
        <f t="array" ref="M148">iferror(transpose(INDIRECT(SUBSTITUTE($C148," ","_"))),"")</f>
        <v/>
      </c>
    </row>
    <row r="149" ht="15.75" customHeight="1">
      <c r="A149" s="6"/>
      <c r="B149" s="8"/>
      <c r="C149" s="4" t="str">
        <f t="array" ref="C149">iferror(INDEX(Fixtures_Results!$E$2:$F$12,MATCH($A149,Fixtures_Results!$A$2:$A$12,0),MATCH("BatTeam"&amp;2*1/$B149,Fixtures_Results!$E$1:$F$1,0)),"")</f>
        <v/>
      </c>
      <c r="D149" s="6"/>
      <c r="E149" s="11"/>
      <c r="F149" s="11"/>
      <c r="G149" s="11"/>
      <c r="H149" s="11"/>
      <c r="M149" s="4" t="str">
        <f t="array" ref="M149">iferror(transpose(INDIRECT(SUBSTITUTE($C149," ","_"))),"")</f>
        <v/>
      </c>
    </row>
    <row r="150" ht="15.75" customHeight="1">
      <c r="A150" s="6"/>
      <c r="B150" s="8"/>
      <c r="C150" s="4" t="str">
        <f t="array" ref="C150">iferror(INDEX(Fixtures_Results!$E$2:$F$12,MATCH($A150,Fixtures_Results!$A$2:$A$12,0),MATCH("BatTeam"&amp;2*1/$B150,Fixtures_Results!$E$1:$F$1,0)),"")</f>
        <v/>
      </c>
      <c r="D150" s="6"/>
      <c r="E150" s="11"/>
      <c r="F150" s="11"/>
      <c r="G150" s="11"/>
      <c r="H150" s="11"/>
      <c r="M150" s="4" t="str">
        <f t="array" ref="M150">iferror(transpose(INDIRECT(SUBSTITUTE($C150," ","_"))),"")</f>
        <v/>
      </c>
    </row>
    <row r="151" ht="15.75" customHeight="1">
      <c r="A151" s="6"/>
      <c r="B151" s="8"/>
      <c r="C151" s="4" t="str">
        <f t="array" ref="C151">iferror(INDEX(Fixtures_Results!$E$2:$F$12,MATCH($A151,Fixtures_Results!$A$2:$A$12,0),MATCH("BatTeam"&amp;2*1/$B151,Fixtures_Results!$E$1:$F$1,0)),"")</f>
        <v/>
      </c>
      <c r="D151" s="6"/>
      <c r="E151" s="11"/>
      <c r="F151" s="11"/>
      <c r="G151" s="11"/>
      <c r="H151" s="11"/>
      <c r="M151" s="4" t="str">
        <f t="array" ref="M151">iferror(transpose(INDIRECT(SUBSTITUTE($C151," ","_"))),"")</f>
        <v/>
      </c>
    </row>
    <row r="152" ht="15.75" customHeight="1">
      <c r="A152" s="6"/>
      <c r="B152" s="8"/>
      <c r="C152" s="4" t="str">
        <f t="array" ref="C152">iferror(INDEX(Fixtures_Results!$E$2:$F$12,MATCH($A152,Fixtures_Results!$A$2:$A$12,0),MATCH("BatTeam"&amp;2*1/$B152,Fixtures_Results!$E$1:$F$1,0)),"")</f>
        <v/>
      </c>
      <c r="D152" s="6"/>
      <c r="E152" s="11"/>
      <c r="F152" s="11"/>
      <c r="G152" s="11"/>
      <c r="H152" s="11"/>
      <c r="M152" s="4" t="str">
        <f t="array" ref="M152">iferror(transpose(INDIRECT(SUBSTITUTE($C152," ","_"))),"")</f>
        <v/>
      </c>
    </row>
    <row r="153" ht="15.75" customHeight="1">
      <c r="A153" s="6"/>
      <c r="B153" s="8"/>
      <c r="C153" s="4" t="str">
        <f t="array" ref="C153">iferror(INDEX(Fixtures_Results!$E$2:$F$12,MATCH($A153,Fixtures_Results!$A$2:$A$12,0),MATCH("BatTeam"&amp;2*1/$B153,Fixtures_Results!$E$1:$F$1,0)),"")</f>
        <v/>
      </c>
      <c r="D153" s="6"/>
      <c r="E153" s="11"/>
      <c r="F153" s="11"/>
      <c r="G153" s="11"/>
      <c r="H153" s="11"/>
      <c r="M153" s="4" t="str">
        <f t="array" ref="M153">iferror(transpose(INDIRECT(SUBSTITUTE($C153," ","_"))),"")</f>
        <v/>
      </c>
    </row>
    <row r="154" ht="15.75" customHeight="1">
      <c r="A154" s="6"/>
      <c r="B154" s="8"/>
      <c r="C154" s="4" t="str">
        <f t="array" ref="C154">iferror(INDEX(Fixtures_Results!$E$2:$F$12,MATCH($A154,Fixtures_Results!$A$2:$A$12,0),MATCH("BatTeam"&amp;2*1/$B154,Fixtures_Results!$E$1:$F$1,0)),"")</f>
        <v/>
      </c>
      <c r="D154" s="6"/>
      <c r="E154" s="11"/>
      <c r="F154" s="11"/>
      <c r="G154" s="11"/>
      <c r="H154" s="11"/>
      <c r="M154" s="4" t="str">
        <f t="array" ref="M154">iferror(transpose(INDIRECT(SUBSTITUTE($C154," ","_"))),"")</f>
        <v/>
      </c>
    </row>
    <row r="155" ht="15.75" customHeight="1">
      <c r="A155" s="6"/>
      <c r="B155" s="8"/>
      <c r="C155" s="4" t="str">
        <f t="array" ref="C155">iferror(INDEX(Fixtures_Results!$E$2:$F$12,MATCH($A155,Fixtures_Results!$A$2:$A$12,0),MATCH("BatTeam"&amp;2*1/$B155,Fixtures_Results!$E$1:$F$1,0)),"")</f>
        <v/>
      </c>
      <c r="D155" s="6"/>
      <c r="E155" s="11"/>
      <c r="F155" s="11"/>
      <c r="G155" s="11"/>
      <c r="H155" s="11"/>
      <c r="M155" s="4" t="str">
        <f t="array" ref="M155">iferror(transpose(INDIRECT(SUBSTITUTE($C155," ","_"))),"")</f>
        <v/>
      </c>
    </row>
    <row r="156" ht="15.75" customHeight="1">
      <c r="A156" s="6"/>
      <c r="B156" s="8"/>
      <c r="C156" s="4" t="str">
        <f t="array" ref="C156">iferror(INDEX(Fixtures_Results!$E$2:$F$12,MATCH($A156,Fixtures_Results!$A$2:$A$12,0),MATCH("BatTeam"&amp;2*1/$B156,Fixtures_Results!$E$1:$F$1,0)),"")</f>
        <v/>
      </c>
      <c r="D156" s="6"/>
      <c r="E156" s="11"/>
      <c r="F156" s="11"/>
      <c r="G156" s="11"/>
      <c r="H156" s="11"/>
      <c r="M156" s="4" t="str">
        <f t="array" ref="M156">iferror(transpose(INDIRECT(SUBSTITUTE($C156," ","_"))),"")</f>
        <v/>
      </c>
    </row>
    <row r="157" ht="15.75" customHeight="1">
      <c r="A157" s="6"/>
      <c r="B157" s="8"/>
      <c r="C157" s="4" t="str">
        <f t="array" ref="C157">iferror(INDEX(Fixtures_Results!$E$2:$F$12,MATCH($A157,Fixtures_Results!$A$2:$A$12,0),MATCH("BatTeam"&amp;2*1/$B157,Fixtures_Results!$E$1:$F$1,0)),"")</f>
        <v/>
      </c>
      <c r="D157" s="6"/>
      <c r="E157" s="11"/>
      <c r="F157" s="11"/>
      <c r="G157" s="11"/>
      <c r="H157" s="11"/>
      <c r="M157" s="4" t="str">
        <f t="array" ref="M157">iferror(transpose(INDIRECT(SUBSTITUTE($C157," ","_"))),"")</f>
        <v/>
      </c>
    </row>
    <row r="158" ht="15.75" customHeight="1">
      <c r="A158" s="6"/>
      <c r="B158" s="8"/>
      <c r="C158" s="4" t="str">
        <f t="array" ref="C158">iferror(INDEX(Fixtures_Results!$E$2:$F$12,MATCH($A158,Fixtures_Results!$A$2:$A$12,0),MATCH("BatTeam"&amp;2*1/$B158,Fixtures_Results!$E$1:$F$1,0)),"")</f>
        <v/>
      </c>
      <c r="D158" s="6"/>
      <c r="E158" s="11"/>
      <c r="F158" s="11"/>
      <c r="G158" s="11"/>
      <c r="H158" s="11"/>
      <c r="M158" s="4" t="str">
        <f t="array" ref="M158">iferror(transpose(INDIRECT(SUBSTITUTE($C158," ","_"))),"")</f>
        <v/>
      </c>
    </row>
    <row r="159" ht="15.75" customHeight="1">
      <c r="A159" s="6"/>
      <c r="B159" s="8"/>
      <c r="C159" s="4" t="str">
        <f t="array" ref="C159">iferror(INDEX(Fixtures_Results!$E$2:$F$12,MATCH($A159,Fixtures_Results!$A$2:$A$12,0),MATCH("BatTeam"&amp;2*1/$B159,Fixtures_Results!$E$1:$F$1,0)),"")</f>
        <v/>
      </c>
      <c r="D159" s="6"/>
      <c r="E159" s="11"/>
      <c r="F159" s="11"/>
      <c r="G159" s="11"/>
      <c r="H159" s="11"/>
      <c r="M159" s="4" t="str">
        <f t="array" ref="M159">iferror(transpose(INDIRECT(SUBSTITUTE($C159," ","_"))),"")</f>
        <v/>
      </c>
    </row>
    <row r="160" ht="15.75" customHeight="1">
      <c r="A160" s="6"/>
      <c r="B160" s="8"/>
      <c r="C160" s="4" t="str">
        <f t="array" ref="C160">iferror(INDEX(Fixtures_Results!$E$2:$F$12,MATCH($A160,Fixtures_Results!$A$2:$A$12,0),MATCH("BatTeam"&amp;2*1/$B160,Fixtures_Results!$E$1:$F$1,0)),"")</f>
        <v/>
      </c>
      <c r="D160" s="6"/>
      <c r="E160" s="11"/>
      <c r="F160" s="11"/>
      <c r="G160" s="11"/>
      <c r="H160" s="11"/>
      <c r="M160" s="4" t="str">
        <f t="array" ref="M160">iferror(transpose(INDIRECT(SUBSTITUTE($C160," ","_"))),"")</f>
        <v/>
      </c>
    </row>
    <row r="161" ht="15.75" customHeight="1">
      <c r="A161" s="6"/>
      <c r="B161" s="8"/>
      <c r="C161" s="4" t="str">
        <f t="array" ref="C161">iferror(INDEX(Fixtures_Results!$E$2:$F$12,MATCH($A161,Fixtures_Results!$A$2:$A$12,0),MATCH("BatTeam"&amp;2*1/$B161,Fixtures_Results!$E$1:$F$1,0)),"")</f>
        <v/>
      </c>
      <c r="D161" s="6"/>
      <c r="E161" s="11"/>
      <c r="F161" s="11"/>
      <c r="G161" s="11"/>
      <c r="H161" s="11"/>
      <c r="M161" s="4" t="str">
        <f t="array" ref="M161">iferror(transpose(INDIRECT(SUBSTITUTE($C161," ","_"))),"")</f>
        <v/>
      </c>
    </row>
    <row r="162" ht="15.75" customHeight="1">
      <c r="A162" s="6"/>
      <c r="B162" s="8"/>
      <c r="C162" s="4" t="str">
        <f t="array" ref="C162">iferror(INDEX(Fixtures_Results!$E$2:$F$12,MATCH($A162,Fixtures_Results!$A$2:$A$12,0),MATCH("BatTeam"&amp;2*1/$B162,Fixtures_Results!$E$1:$F$1,0)),"")</f>
        <v/>
      </c>
      <c r="D162" s="6"/>
      <c r="E162" s="11"/>
      <c r="F162" s="11"/>
      <c r="G162" s="11"/>
      <c r="H162" s="11"/>
      <c r="M162" s="4" t="str">
        <f t="array" ref="M162">iferror(transpose(INDIRECT(SUBSTITUTE($C162," ","_"))),"")</f>
        <v/>
      </c>
    </row>
    <row r="163" ht="15.75" customHeight="1">
      <c r="A163" s="6"/>
      <c r="B163" s="8"/>
      <c r="C163" s="4" t="str">
        <f t="array" ref="C163">iferror(INDEX(Fixtures_Results!$E$2:$F$12,MATCH($A163,Fixtures_Results!$A$2:$A$12,0),MATCH("BatTeam"&amp;2*1/$B163,Fixtures_Results!$E$1:$F$1,0)),"")</f>
        <v/>
      </c>
      <c r="D163" s="6"/>
      <c r="E163" s="11"/>
      <c r="F163" s="11"/>
      <c r="G163" s="11"/>
      <c r="H163" s="11"/>
      <c r="M163" s="4" t="str">
        <f t="array" ref="M163">iferror(transpose(INDIRECT(SUBSTITUTE($C163," ","_"))),"")</f>
        <v/>
      </c>
    </row>
    <row r="164" ht="15.75" customHeight="1">
      <c r="A164" s="6"/>
      <c r="B164" s="8"/>
      <c r="C164" s="4" t="str">
        <f t="array" ref="C164">iferror(INDEX(Fixtures_Results!$E$2:$F$12,MATCH($A164,Fixtures_Results!$A$2:$A$12,0),MATCH("BatTeam"&amp;2*1/$B164,Fixtures_Results!$E$1:$F$1,0)),"")</f>
        <v/>
      </c>
      <c r="D164" s="6"/>
      <c r="E164" s="11"/>
      <c r="F164" s="11"/>
      <c r="G164" s="11"/>
      <c r="H164" s="11"/>
      <c r="M164" s="4" t="str">
        <f t="array" ref="M164">iferror(transpose(INDIRECT(SUBSTITUTE($C164," ","_"))),"")</f>
        <v/>
      </c>
    </row>
    <row r="165" ht="15.75" customHeight="1">
      <c r="A165" s="6"/>
      <c r="B165" s="8"/>
      <c r="C165" s="4" t="str">
        <f t="array" ref="C165">iferror(INDEX(Fixtures_Results!$E$2:$F$12,MATCH($A165,Fixtures_Results!$A$2:$A$12,0),MATCH("BatTeam"&amp;2*1/$B165,Fixtures_Results!$E$1:$F$1,0)),"")</f>
        <v/>
      </c>
      <c r="D165" s="6"/>
      <c r="E165" s="11"/>
      <c r="F165" s="11"/>
      <c r="G165" s="11"/>
      <c r="H165" s="11"/>
      <c r="M165" s="4" t="str">
        <f t="array" ref="M165">iferror(transpose(INDIRECT(SUBSTITUTE($C165," ","_"))),"")</f>
        <v/>
      </c>
    </row>
    <row r="166" ht="15.75" customHeight="1">
      <c r="A166" s="6"/>
      <c r="B166" s="8"/>
      <c r="C166" s="4" t="str">
        <f t="array" ref="C166">iferror(INDEX(Fixtures_Results!$E$2:$F$12,MATCH($A166,Fixtures_Results!$A$2:$A$12,0),MATCH("BatTeam"&amp;2*1/$B166,Fixtures_Results!$E$1:$F$1,0)),"")</f>
        <v/>
      </c>
      <c r="D166" s="6"/>
      <c r="E166" s="11"/>
      <c r="F166" s="11"/>
      <c r="G166" s="11"/>
      <c r="H166" s="11"/>
      <c r="M166" s="4" t="str">
        <f t="array" ref="M166">iferror(transpose(INDIRECT(SUBSTITUTE($C166," ","_"))),"")</f>
        <v/>
      </c>
    </row>
    <row r="167" ht="15.75" customHeight="1">
      <c r="A167" s="6"/>
      <c r="B167" s="8"/>
      <c r="C167" s="4" t="str">
        <f t="array" ref="C167">iferror(INDEX(Fixtures_Results!$E$2:$F$12,MATCH($A167,Fixtures_Results!$A$2:$A$12,0),MATCH("BatTeam"&amp;2*1/$B167,Fixtures_Results!$E$1:$F$1,0)),"")</f>
        <v/>
      </c>
      <c r="D167" s="6"/>
      <c r="E167" s="11"/>
      <c r="F167" s="11"/>
      <c r="G167" s="11"/>
      <c r="H167" s="11"/>
      <c r="M167" s="4" t="str">
        <f t="array" ref="M167">iferror(transpose(INDIRECT(SUBSTITUTE($C167," ","_"))),"")</f>
        <v/>
      </c>
    </row>
    <row r="168" ht="15.75" customHeight="1">
      <c r="A168" s="6"/>
      <c r="B168" s="8"/>
      <c r="C168" s="4" t="str">
        <f t="array" ref="C168">iferror(INDEX(Fixtures_Results!$E$2:$F$12,MATCH($A168,Fixtures_Results!$A$2:$A$12,0),MATCH("BatTeam"&amp;2*1/$B168,Fixtures_Results!$E$1:$F$1,0)),"")</f>
        <v/>
      </c>
      <c r="D168" s="6"/>
      <c r="E168" s="11"/>
      <c r="F168" s="11"/>
      <c r="G168" s="11"/>
      <c r="H168" s="11"/>
      <c r="M168" s="4" t="str">
        <f t="array" ref="M168">iferror(transpose(INDIRECT(SUBSTITUTE($C168," ","_"))),"")</f>
        <v/>
      </c>
    </row>
    <row r="169" ht="15.75" customHeight="1">
      <c r="A169" s="6"/>
      <c r="B169" s="8"/>
      <c r="C169" s="4" t="str">
        <f t="array" ref="C169">iferror(INDEX(Fixtures_Results!$E$2:$F$12,MATCH($A169,Fixtures_Results!$A$2:$A$12,0),MATCH("BatTeam"&amp;2*1/$B169,Fixtures_Results!$E$1:$F$1,0)),"")</f>
        <v/>
      </c>
      <c r="D169" s="6"/>
      <c r="E169" s="11"/>
      <c r="F169" s="11"/>
      <c r="G169" s="11"/>
      <c r="H169" s="11"/>
      <c r="M169" s="4" t="str">
        <f t="array" ref="M169">iferror(transpose(INDIRECT(SUBSTITUTE($C169," ","_"))),"")</f>
        <v/>
      </c>
    </row>
    <row r="170" ht="15.75" customHeight="1">
      <c r="A170" s="6"/>
      <c r="B170" s="8"/>
      <c r="C170" s="4" t="str">
        <f t="array" ref="C170">iferror(INDEX(Fixtures_Results!$E$2:$F$12,MATCH($A170,Fixtures_Results!$A$2:$A$12,0),MATCH("BatTeam"&amp;2*1/$B170,Fixtures_Results!$E$1:$F$1,0)),"")</f>
        <v/>
      </c>
      <c r="D170" s="6"/>
      <c r="E170" s="11"/>
      <c r="F170" s="11"/>
      <c r="G170" s="11"/>
      <c r="H170" s="11"/>
      <c r="M170" s="4" t="str">
        <f t="array" ref="M170">iferror(transpose(INDIRECT(SUBSTITUTE($C170," ","_"))),"")</f>
        <v/>
      </c>
    </row>
    <row r="171" ht="15.75" customHeight="1">
      <c r="A171" s="6"/>
      <c r="B171" s="8"/>
      <c r="C171" s="4" t="str">
        <f t="array" ref="C171">iferror(INDEX(Fixtures_Results!$E$2:$F$12,MATCH($A171,Fixtures_Results!$A$2:$A$12,0),MATCH("BatTeam"&amp;2*1/$B171,Fixtures_Results!$E$1:$F$1,0)),"")</f>
        <v/>
      </c>
      <c r="D171" s="6"/>
      <c r="E171" s="11"/>
      <c r="F171" s="11"/>
      <c r="G171" s="11"/>
      <c r="H171" s="11"/>
      <c r="M171" s="4" t="str">
        <f t="array" ref="M171">iferror(transpose(INDIRECT(SUBSTITUTE($C171," ","_"))),"")</f>
        <v/>
      </c>
    </row>
    <row r="172" ht="15.75" customHeight="1">
      <c r="A172" s="6"/>
      <c r="B172" s="8"/>
      <c r="C172" s="4" t="str">
        <f t="array" ref="C172">iferror(INDEX(Fixtures_Results!$E$2:$F$12,MATCH($A172,Fixtures_Results!$A$2:$A$12,0),MATCH("BatTeam"&amp;2*1/$B172,Fixtures_Results!$E$1:$F$1,0)),"")</f>
        <v/>
      </c>
      <c r="D172" s="6"/>
      <c r="E172" s="11"/>
      <c r="F172" s="11"/>
      <c r="G172" s="11"/>
      <c r="H172" s="11"/>
      <c r="M172" s="4" t="str">
        <f t="array" ref="M172">iferror(transpose(INDIRECT(SUBSTITUTE($C172," ","_"))),"")</f>
        <v/>
      </c>
    </row>
    <row r="173" ht="15.75" customHeight="1">
      <c r="A173" s="6"/>
      <c r="B173" s="8"/>
      <c r="C173" s="4" t="str">
        <f t="array" ref="C173">iferror(INDEX(Fixtures_Results!$E$2:$F$12,MATCH($A173,Fixtures_Results!$A$2:$A$12,0),MATCH("BatTeam"&amp;2*1/$B173,Fixtures_Results!$E$1:$F$1,0)),"")</f>
        <v/>
      </c>
      <c r="D173" s="6"/>
      <c r="E173" s="11"/>
      <c r="F173" s="11"/>
      <c r="G173" s="11"/>
      <c r="H173" s="11"/>
      <c r="M173" s="4" t="str">
        <f t="array" ref="M173">iferror(transpose(INDIRECT(SUBSTITUTE($C173," ","_"))),"")</f>
        <v/>
      </c>
    </row>
    <row r="174" ht="15.75" customHeight="1">
      <c r="A174" s="6"/>
      <c r="B174" s="8"/>
      <c r="C174" s="4" t="str">
        <f t="array" ref="C174">iferror(INDEX(Fixtures_Results!$E$2:$F$12,MATCH($A174,Fixtures_Results!$A$2:$A$12,0),MATCH("BatTeam"&amp;2*1/$B174,Fixtures_Results!$E$1:$F$1,0)),"")</f>
        <v/>
      </c>
      <c r="D174" s="6"/>
      <c r="E174" s="11"/>
      <c r="F174" s="11"/>
      <c r="G174" s="11"/>
      <c r="H174" s="11"/>
      <c r="M174" s="4" t="str">
        <f t="array" ref="M174">iferror(transpose(INDIRECT(SUBSTITUTE($C174," ","_"))),"")</f>
        <v/>
      </c>
    </row>
    <row r="175" ht="15.75" customHeight="1">
      <c r="A175" s="6"/>
      <c r="B175" s="8"/>
      <c r="C175" s="4" t="str">
        <f t="array" ref="C175">iferror(INDEX(Fixtures_Results!$E$2:$F$12,MATCH($A175,Fixtures_Results!$A$2:$A$12,0),MATCH("BatTeam"&amp;2*1/$B175,Fixtures_Results!$E$1:$F$1,0)),"")</f>
        <v/>
      </c>
      <c r="D175" s="6"/>
      <c r="E175" s="11"/>
      <c r="F175" s="11"/>
      <c r="G175" s="11"/>
      <c r="H175" s="11"/>
      <c r="M175" s="4" t="str">
        <f t="array" ref="M175">iferror(transpose(INDIRECT(SUBSTITUTE($C175," ","_"))),"")</f>
        <v/>
      </c>
    </row>
    <row r="176" ht="15.75" customHeight="1">
      <c r="A176" s="6"/>
      <c r="B176" s="8"/>
      <c r="C176" s="4" t="str">
        <f t="array" ref="C176">iferror(INDEX(Fixtures_Results!$E$2:$F$12,MATCH($A176,Fixtures_Results!$A$2:$A$12,0),MATCH("BatTeam"&amp;2*1/$B176,Fixtures_Results!$E$1:$F$1,0)),"")</f>
        <v/>
      </c>
      <c r="D176" s="6"/>
      <c r="E176" s="11"/>
      <c r="F176" s="11"/>
      <c r="G176" s="11"/>
      <c r="H176" s="11"/>
      <c r="M176" s="4" t="str">
        <f t="array" ref="M176">iferror(transpose(INDIRECT(SUBSTITUTE($C176," ","_"))),"")</f>
        <v/>
      </c>
    </row>
    <row r="177" ht="15.75" customHeight="1">
      <c r="A177" s="6"/>
      <c r="B177" s="8"/>
      <c r="C177" s="4" t="str">
        <f t="array" ref="C177">iferror(INDEX(Fixtures_Results!$E$2:$F$12,MATCH($A177,Fixtures_Results!$A$2:$A$12,0),MATCH("BatTeam"&amp;2*1/$B177,Fixtures_Results!$E$1:$F$1,0)),"")</f>
        <v/>
      </c>
      <c r="D177" s="6"/>
      <c r="E177" s="11"/>
      <c r="F177" s="11"/>
      <c r="G177" s="11"/>
      <c r="H177" s="11"/>
      <c r="M177" s="4" t="str">
        <f t="array" ref="M177">iferror(transpose(INDIRECT(SUBSTITUTE($C177," ","_"))),"")</f>
        <v/>
      </c>
    </row>
    <row r="178" ht="15.75" customHeight="1">
      <c r="A178" s="6"/>
      <c r="B178" s="8"/>
      <c r="C178" s="4" t="str">
        <f t="array" ref="C178">iferror(INDEX(Fixtures_Results!$E$2:$F$12,MATCH($A178,Fixtures_Results!$A$2:$A$12,0),MATCH("BatTeam"&amp;2*1/$B178,Fixtures_Results!$E$1:$F$1,0)),"")</f>
        <v/>
      </c>
      <c r="D178" s="6"/>
      <c r="E178" s="11"/>
      <c r="F178" s="11"/>
      <c r="G178" s="11"/>
      <c r="H178" s="11"/>
      <c r="M178" s="4" t="str">
        <f t="array" ref="M178">iferror(transpose(INDIRECT(SUBSTITUTE($C178," ","_"))),"")</f>
        <v/>
      </c>
    </row>
    <row r="179" ht="15.75" customHeight="1">
      <c r="A179" s="6"/>
      <c r="B179" s="8"/>
      <c r="C179" s="4" t="str">
        <f t="array" ref="C179">iferror(INDEX(Fixtures_Results!$E$2:$F$12,MATCH($A179,Fixtures_Results!$A$2:$A$12,0),MATCH("BatTeam"&amp;2*1/$B179,Fixtures_Results!$E$1:$F$1,0)),"")</f>
        <v/>
      </c>
      <c r="D179" s="6"/>
      <c r="E179" s="11"/>
      <c r="F179" s="11"/>
      <c r="G179" s="11"/>
      <c r="H179" s="11"/>
      <c r="M179" s="4" t="str">
        <f t="array" ref="M179">iferror(transpose(INDIRECT(SUBSTITUTE($C179," ","_"))),"")</f>
        <v/>
      </c>
    </row>
    <row r="180" ht="15.75" customHeight="1">
      <c r="A180" s="6"/>
      <c r="B180" s="8"/>
      <c r="C180" s="4" t="str">
        <f t="array" ref="C180">iferror(INDEX(Fixtures_Results!$E$2:$F$12,MATCH($A180,Fixtures_Results!$A$2:$A$12,0),MATCH("BatTeam"&amp;2*1/$B180,Fixtures_Results!$E$1:$F$1,0)),"")</f>
        <v/>
      </c>
      <c r="D180" s="6"/>
      <c r="E180" s="11"/>
      <c r="F180" s="11"/>
      <c r="G180" s="11"/>
      <c r="H180" s="11"/>
      <c r="M180" s="4" t="str">
        <f t="array" ref="M180">iferror(transpose(INDIRECT(SUBSTITUTE($C180," ","_"))),"")</f>
        <v/>
      </c>
    </row>
    <row r="181" ht="15.75" customHeight="1">
      <c r="A181" s="6"/>
      <c r="B181" s="8"/>
      <c r="C181" s="4" t="str">
        <f t="array" ref="C181">iferror(INDEX(Fixtures_Results!$E$2:$F$12,MATCH($A181,Fixtures_Results!$A$2:$A$12,0),MATCH("BatTeam"&amp;2*1/$B181,Fixtures_Results!$E$1:$F$1,0)),"")</f>
        <v/>
      </c>
      <c r="D181" s="6"/>
      <c r="E181" s="11"/>
      <c r="F181" s="11"/>
      <c r="G181" s="11"/>
      <c r="H181" s="11"/>
      <c r="M181" s="4" t="str">
        <f t="array" ref="M181">iferror(transpose(INDIRECT(SUBSTITUTE($C181," ","_"))),"")</f>
        <v/>
      </c>
    </row>
    <row r="182" ht="15.75" customHeight="1">
      <c r="A182" s="6"/>
      <c r="B182" s="8"/>
      <c r="C182" s="4" t="str">
        <f t="array" ref="C182">iferror(INDEX(Fixtures_Results!$E$2:$F$12,MATCH($A182,Fixtures_Results!$A$2:$A$12,0),MATCH("BatTeam"&amp;2*1/$B182,Fixtures_Results!$E$1:$F$1,0)),"")</f>
        <v/>
      </c>
      <c r="D182" s="6"/>
      <c r="E182" s="11"/>
      <c r="F182" s="11"/>
      <c r="G182" s="11"/>
      <c r="H182" s="11"/>
      <c r="M182" s="4" t="str">
        <f t="array" ref="M182">iferror(transpose(INDIRECT(SUBSTITUTE($C182," ","_"))),"")</f>
        <v/>
      </c>
    </row>
    <row r="183" ht="15.75" customHeight="1">
      <c r="A183" s="6"/>
      <c r="B183" s="8"/>
      <c r="C183" s="4" t="str">
        <f t="array" ref="C183">iferror(INDEX(Fixtures_Results!$E$2:$F$12,MATCH($A183,Fixtures_Results!$A$2:$A$12,0),MATCH("BatTeam"&amp;2*1/$B183,Fixtures_Results!$E$1:$F$1,0)),"")</f>
        <v/>
      </c>
      <c r="D183" s="6"/>
      <c r="E183" s="11"/>
      <c r="F183" s="11"/>
      <c r="G183" s="11"/>
      <c r="H183" s="11"/>
      <c r="M183" s="4" t="str">
        <f t="array" ref="M183">iferror(transpose(INDIRECT(SUBSTITUTE($C183," ","_"))),"")</f>
        <v/>
      </c>
    </row>
    <row r="184" ht="15.75" customHeight="1">
      <c r="A184" s="6"/>
      <c r="B184" s="8"/>
      <c r="C184" s="4" t="str">
        <f t="array" ref="C184">iferror(INDEX(Fixtures_Results!$E$2:$F$12,MATCH($A184,Fixtures_Results!$A$2:$A$12,0),MATCH("BatTeam"&amp;2*1/$B184,Fixtures_Results!$E$1:$F$1,0)),"")</f>
        <v/>
      </c>
      <c r="D184" s="6"/>
      <c r="E184" s="11"/>
      <c r="F184" s="11"/>
      <c r="G184" s="11"/>
      <c r="H184" s="11"/>
      <c r="M184" s="4" t="str">
        <f t="array" ref="M184">iferror(transpose(INDIRECT(SUBSTITUTE($C184," ","_"))),"")</f>
        <v/>
      </c>
    </row>
    <row r="185" ht="15.75" customHeight="1">
      <c r="A185" s="6"/>
      <c r="B185" s="8"/>
      <c r="C185" s="4" t="str">
        <f t="array" ref="C185">iferror(INDEX(Fixtures_Results!$E$2:$F$12,MATCH($A185,Fixtures_Results!$A$2:$A$12,0),MATCH("BatTeam"&amp;2*1/$B185,Fixtures_Results!$E$1:$F$1,0)),"")</f>
        <v/>
      </c>
      <c r="D185" s="6"/>
      <c r="E185" s="11"/>
      <c r="F185" s="11"/>
      <c r="G185" s="11"/>
      <c r="H185" s="11"/>
      <c r="M185" s="4" t="str">
        <f t="array" ref="M185">iferror(transpose(INDIRECT(SUBSTITUTE($C185," ","_"))),"")</f>
        <v/>
      </c>
    </row>
    <row r="186" ht="15.75" customHeight="1">
      <c r="A186" s="6"/>
      <c r="B186" s="8"/>
      <c r="C186" s="4" t="str">
        <f t="array" ref="C186">iferror(INDEX(Fixtures_Results!$E$2:$F$12,MATCH($A186,Fixtures_Results!$A$2:$A$12,0),MATCH("BatTeam"&amp;2*1/$B186,Fixtures_Results!$E$1:$F$1,0)),"")</f>
        <v/>
      </c>
      <c r="D186" s="6"/>
      <c r="E186" s="11"/>
      <c r="F186" s="11"/>
      <c r="G186" s="11"/>
      <c r="H186" s="11"/>
      <c r="M186" s="4" t="str">
        <f t="array" ref="M186">iferror(transpose(INDIRECT(SUBSTITUTE($C186," ","_"))),"")</f>
        <v/>
      </c>
    </row>
    <row r="187" ht="15.75" customHeight="1">
      <c r="A187" s="6"/>
      <c r="B187" s="8"/>
      <c r="C187" s="4" t="str">
        <f t="array" ref="C187">iferror(INDEX(Fixtures_Results!$E$2:$F$12,MATCH($A187,Fixtures_Results!$A$2:$A$12,0),MATCH("BatTeam"&amp;2*1/$B187,Fixtures_Results!$E$1:$F$1,0)),"")</f>
        <v/>
      </c>
      <c r="D187" s="6"/>
      <c r="E187" s="11"/>
      <c r="F187" s="11"/>
      <c r="G187" s="11"/>
      <c r="H187" s="11"/>
      <c r="M187" s="4" t="str">
        <f t="array" ref="M187">iferror(transpose(INDIRECT(SUBSTITUTE($C187," ","_"))),"")</f>
        <v/>
      </c>
    </row>
    <row r="188" ht="15.75" customHeight="1">
      <c r="A188" s="6"/>
      <c r="B188" s="8"/>
      <c r="C188" s="4" t="str">
        <f t="array" ref="C188">iferror(INDEX(Fixtures_Results!$E$2:$F$12,MATCH($A188,Fixtures_Results!$A$2:$A$12,0),MATCH("BatTeam"&amp;2*1/$B188,Fixtures_Results!$E$1:$F$1,0)),"")</f>
        <v/>
      </c>
      <c r="D188" s="6"/>
      <c r="E188" s="11"/>
      <c r="F188" s="11"/>
      <c r="G188" s="11"/>
      <c r="H188" s="11"/>
      <c r="M188" s="4" t="str">
        <f t="array" ref="M188">iferror(transpose(INDIRECT(SUBSTITUTE($C188," ","_"))),"")</f>
        <v/>
      </c>
    </row>
    <row r="189" ht="15.75" customHeight="1">
      <c r="A189" s="6"/>
      <c r="B189" s="8"/>
      <c r="C189" s="4" t="str">
        <f t="array" ref="C189">iferror(INDEX(Fixtures_Results!$E$2:$F$12,MATCH($A189,Fixtures_Results!$A$2:$A$12,0),MATCH("BatTeam"&amp;2*1/$B189,Fixtures_Results!$E$1:$F$1,0)),"")</f>
        <v/>
      </c>
      <c r="D189" s="6"/>
      <c r="E189" s="11"/>
      <c r="F189" s="11"/>
      <c r="G189" s="11"/>
      <c r="H189" s="11"/>
      <c r="M189" s="4" t="str">
        <f t="array" ref="M189">iferror(transpose(INDIRECT(SUBSTITUTE($C189," ","_"))),"")</f>
        <v/>
      </c>
    </row>
    <row r="190" ht="15.75" customHeight="1">
      <c r="A190" s="6"/>
      <c r="B190" s="8"/>
      <c r="C190" s="4" t="str">
        <f t="array" ref="C190">iferror(INDEX(Fixtures_Results!$E$2:$F$12,MATCH($A190,Fixtures_Results!$A$2:$A$12,0),MATCH("BatTeam"&amp;2*1/$B190,Fixtures_Results!$E$1:$F$1,0)),"")</f>
        <v/>
      </c>
      <c r="D190" s="6"/>
      <c r="E190" s="11"/>
      <c r="F190" s="11"/>
      <c r="G190" s="11"/>
      <c r="H190" s="11"/>
      <c r="M190" s="4" t="str">
        <f t="array" ref="M190">iferror(transpose(INDIRECT(SUBSTITUTE($C190," ","_"))),"")</f>
        <v/>
      </c>
    </row>
    <row r="191" ht="15.75" customHeight="1">
      <c r="A191" s="6"/>
      <c r="B191" s="8"/>
      <c r="C191" s="4" t="str">
        <f t="array" ref="C191">iferror(INDEX(Fixtures_Results!$E$2:$F$12,MATCH($A191,Fixtures_Results!$A$2:$A$12,0),MATCH("BatTeam"&amp;2*1/$B191,Fixtures_Results!$E$1:$F$1,0)),"")</f>
        <v/>
      </c>
      <c r="D191" s="6"/>
      <c r="E191" s="11"/>
      <c r="F191" s="11"/>
      <c r="G191" s="11"/>
      <c r="H191" s="11"/>
      <c r="M191" s="4" t="str">
        <f t="array" ref="M191">iferror(transpose(INDIRECT(SUBSTITUTE($C191," ","_"))),"")</f>
        <v/>
      </c>
    </row>
    <row r="192" ht="15.75" customHeight="1">
      <c r="A192" s="6"/>
      <c r="B192" s="8"/>
      <c r="C192" s="4" t="str">
        <f t="array" ref="C192">iferror(INDEX(Fixtures_Results!$E$2:$F$12,MATCH($A192,Fixtures_Results!$A$2:$A$12,0),MATCH("BatTeam"&amp;2*1/$B192,Fixtures_Results!$E$1:$F$1,0)),"")</f>
        <v/>
      </c>
      <c r="D192" s="6"/>
      <c r="E192" s="11"/>
      <c r="F192" s="11"/>
      <c r="G192" s="11"/>
      <c r="H192" s="11"/>
      <c r="M192" s="4" t="str">
        <f t="array" ref="M192">iferror(transpose(INDIRECT(SUBSTITUTE($C192," ","_"))),"")</f>
        <v/>
      </c>
    </row>
    <row r="193" ht="15.75" customHeight="1">
      <c r="A193" s="6"/>
      <c r="B193" s="8"/>
      <c r="C193" s="4" t="str">
        <f t="array" ref="C193">iferror(INDEX(Fixtures_Results!$E$2:$F$12,MATCH($A193,Fixtures_Results!$A$2:$A$12,0),MATCH("BatTeam"&amp;2*1/$B193,Fixtures_Results!$E$1:$F$1,0)),"")</f>
        <v/>
      </c>
      <c r="D193" s="6"/>
      <c r="E193" s="11"/>
      <c r="F193" s="11"/>
      <c r="G193" s="11"/>
      <c r="H193" s="11"/>
      <c r="M193" s="4" t="str">
        <f t="array" ref="M193">iferror(transpose(INDIRECT(SUBSTITUTE($C193," ","_"))),"")</f>
        <v/>
      </c>
    </row>
    <row r="194" ht="15.75" customHeight="1">
      <c r="A194" s="6"/>
      <c r="B194" s="8"/>
      <c r="C194" s="4" t="str">
        <f t="array" ref="C194">iferror(INDEX(Fixtures_Results!$E$2:$F$12,MATCH($A194,Fixtures_Results!$A$2:$A$12,0),MATCH("BatTeam"&amp;2*1/$B194,Fixtures_Results!$E$1:$F$1,0)),"")</f>
        <v/>
      </c>
      <c r="D194" s="6"/>
      <c r="E194" s="11"/>
      <c r="F194" s="11"/>
      <c r="G194" s="11"/>
      <c r="H194" s="11"/>
      <c r="M194" s="4" t="str">
        <f t="array" ref="M194">iferror(transpose(INDIRECT(SUBSTITUTE($C194," ","_"))),"")</f>
        <v/>
      </c>
    </row>
    <row r="195" ht="15.75" customHeight="1">
      <c r="A195" s="6"/>
      <c r="B195" s="8"/>
      <c r="C195" s="4" t="str">
        <f t="array" ref="C195">iferror(INDEX(Fixtures_Results!$E$2:$F$12,MATCH($A195,Fixtures_Results!$A$2:$A$12,0),MATCH("BatTeam"&amp;2*1/$B195,Fixtures_Results!$E$1:$F$1,0)),"")</f>
        <v/>
      </c>
      <c r="D195" s="6"/>
      <c r="E195" s="11"/>
      <c r="F195" s="11"/>
      <c r="G195" s="11"/>
      <c r="H195" s="11"/>
      <c r="M195" s="4" t="str">
        <f t="array" ref="M195">iferror(transpose(INDIRECT(SUBSTITUTE($C195," ","_"))),"")</f>
        <v/>
      </c>
    </row>
    <row r="196" ht="15.75" customHeight="1">
      <c r="A196" s="6"/>
      <c r="B196" s="8"/>
      <c r="C196" s="4" t="str">
        <f t="array" ref="C196">iferror(INDEX(Fixtures_Results!$E$2:$F$12,MATCH($A196,Fixtures_Results!$A$2:$A$12,0),MATCH("BatTeam"&amp;2*1/$B196,Fixtures_Results!$E$1:$F$1,0)),"")</f>
        <v/>
      </c>
      <c r="D196" s="6"/>
      <c r="E196" s="11"/>
      <c r="F196" s="11"/>
      <c r="G196" s="11"/>
      <c r="H196" s="11"/>
      <c r="M196" s="4" t="str">
        <f t="array" ref="M196">iferror(transpose(INDIRECT(SUBSTITUTE($C196," ","_"))),"")</f>
        <v/>
      </c>
    </row>
    <row r="197" ht="15.75" customHeight="1">
      <c r="A197" s="6"/>
      <c r="B197" s="8"/>
      <c r="C197" s="4" t="str">
        <f t="array" ref="C197">iferror(INDEX(Fixtures_Results!$E$2:$F$12,MATCH($A197,Fixtures_Results!$A$2:$A$12,0),MATCH("BatTeam"&amp;2*1/$B197,Fixtures_Results!$E$1:$F$1,0)),"")</f>
        <v/>
      </c>
      <c r="D197" s="6"/>
      <c r="E197" s="11"/>
      <c r="F197" s="11"/>
      <c r="G197" s="11"/>
      <c r="H197" s="11"/>
      <c r="M197" s="4" t="str">
        <f t="array" ref="M197">iferror(transpose(INDIRECT(SUBSTITUTE($C197," ","_"))),"")</f>
        <v/>
      </c>
    </row>
    <row r="198" ht="15.75" customHeight="1">
      <c r="A198" s="6"/>
      <c r="B198" s="8"/>
      <c r="C198" s="4" t="str">
        <f t="array" ref="C198">iferror(INDEX(Fixtures_Results!$E$2:$F$12,MATCH($A198,Fixtures_Results!$A$2:$A$12,0),MATCH("BatTeam"&amp;2*1/$B198,Fixtures_Results!$E$1:$F$1,0)),"")</f>
        <v/>
      </c>
      <c r="D198" s="6"/>
      <c r="E198" s="11"/>
      <c r="F198" s="11"/>
      <c r="G198" s="11"/>
      <c r="H198" s="11"/>
      <c r="M198" s="4" t="str">
        <f t="array" ref="M198">iferror(transpose(INDIRECT(SUBSTITUTE($C198," ","_"))),"")</f>
        <v/>
      </c>
    </row>
    <row r="199" ht="15.75" customHeight="1">
      <c r="A199" s="6"/>
      <c r="B199" s="8"/>
      <c r="C199" s="4" t="str">
        <f t="array" ref="C199">iferror(INDEX(Fixtures_Results!$E$2:$F$12,MATCH($A199,Fixtures_Results!$A$2:$A$12,0),MATCH("BatTeam"&amp;2*1/$B199,Fixtures_Results!$E$1:$F$1,0)),"")</f>
        <v/>
      </c>
      <c r="D199" s="6"/>
      <c r="E199" s="11"/>
      <c r="F199" s="11"/>
      <c r="G199" s="11"/>
      <c r="H199" s="11"/>
      <c r="M199" s="4" t="str">
        <f t="array" ref="M199">iferror(transpose(INDIRECT(SUBSTITUTE($C199," ","_"))),"")</f>
        <v/>
      </c>
    </row>
    <row r="200" ht="15.75" customHeight="1">
      <c r="A200" s="6"/>
      <c r="B200" s="8"/>
      <c r="C200" s="4" t="str">
        <f t="array" ref="C200">iferror(INDEX(Fixtures_Results!$E$2:$F$12,MATCH($A200,Fixtures_Results!$A$2:$A$12,0),MATCH("BatTeam"&amp;2*1/$B200,Fixtures_Results!$E$1:$F$1,0)),"")</f>
        <v/>
      </c>
      <c r="D200" s="6"/>
      <c r="E200" s="11"/>
      <c r="F200" s="11"/>
      <c r="G200" s="11"/>
      <c r="H200" s="11"/>
      <c r="M200" s="4" t="str">
        <f t="array" ref="M200">iferror(transpose(INDIRECT(SUBSTITUTE($C200," ","_"))),"")</f>
        <v/>
      </c>
    </row>
    <row r="201" ht="15.75" customHeight="1">
      <c r="A201" s="6"/>
      <c r="B201" s="8"/>
      <c r="C201" s="4" t="str">
        <f t="array" ref="C201">iferror(INDEX(Fixtures_Results!$E$2:$F$12,MATCH($A201,Fixtures_Results!$A$2:$A$12,0),MATCH("BatTeam"&amp;2*1/$B201,Fixtures_Results!$E$1:$F$1,0)),"")</f>
        <v/>
      </c>
      <c r="D201" s="6"/>
      <c r="E201" s="11"/>
      <c r="F201" s="11"/>
      <c r="G201" s="11"/>
      <c r="H201" s="11"/>
      <c r="M201" s="4" t="str">
        <f t="array" ref="M201">iferror(transpose(INDIRECT(SUBSTITUTE($C201," ","_"))),"")</f>
        <v/>
      </c>
    </row>
    <row r="202" ht="15.75" customHeight="1">
      <c r="A202" s="6"/>
      <c r="B202" s="8"/>
      <c r="C202" s="4" t="str">
        <f t="array" ref="C202">iferror(INDEX(Fixtures_Results!$E$2:$F$12,MATCH($A202,Fixtures_Results!$A$2:$A$12,0),MATCH("BatTeam"&amp;2*1/$B202,Fixtures_Results!$E$1:$F$1,0)),"")</f>
        <v/>
      </c>
      <c r="D202" s="6"/>
      <c r="E202" s="11"/>
      <c r="F202" s="11"/>
      <c r="G202" s="11"/>
      <c r="H202" s="11"/>
      <c r="M202" s="4" t="str">
        <f t="array" ref="M202">iferror(transpose(INDIRECT(SUBSTITUTE($C202," ","_"))),"")</f>
        <v/>
      </c>
    </row>
    <row r="203" ht="15.75" customHeight="1">
      <c r="A203" s="6"/>
      <c r="B203" s="8"/>
      <c r="C203" s="4" t="str">
        <f t="array" ref="C203">iferror(INDEX(Fixtures_Results!$E$2:$F$12,MATCH($A203,Fixtures_Results!$A$2:$A$12,0),MATCH("BatTeam"&amp;2*1/$B203,Fixtures_Results!$E$1:$F$1,0)),"")</f>
        <v/>
      </c>
      <c r="D203" s="6"/>
      <c r="E203" s="11"/>
      <c r="F203" s="11"/>
      <c r="G203" s="11"/>
      <c r="H203" s="11"/>
      <c r="M203" s="4" t="str">
        <f t="array" ref="M203">iferror(transpose(INDIRECT(SUBSTITUTE($C203," ","_"))),"")</f>
        <v/>
      </c>
    </row>
    <row r="204" ht="15.75" customHeight="1">
      <c r="A204" s="6"/>
      <c r="B204" s="8"/>
      <c r="C204" s="4" t="str">
        <f t="array" ref="C204">iferror(INDEX(Fixtures_Results!$E$2:$F$12,MATCH($A204,Fixtures_Results!$A$2:$A$12,0),MATCH("BatTeam"&amp;2*1/$B204,Fixtures_Results!$E$1:$F$1,0)),"")</f>
        <v/>
      </c>
      <c r="D204" s="6"/>
      <c r="E204" s="11"/>
      <c r="F204" s="11"/>
      <c r="G204" s="11"/>
      <c r="H204" s="11"/>
      <c r="M204" s="4" t="str">
        <f t="array" ref="M204">iferror(transpose(INDIRECT(SUBSTITUTE($C204," ","_"))),"")</f>
        <v/>
      </c>
    </row>
    <row r="205" ht="15.75" customHeight="1">
      <c r="A205" s="6"/>
      <c r="B205" s="8"/>
      <c r="C205" s="4" t="str">
        <f t="array" ref="C205">iferror(INDEX(Fixtures_Results!$E$2:$F$12,MATCH($A205,Fixtures_Results!$A$2:$A$12,0),MATCH("BatTeam"&amp;2*1/$B205,Fixtures_Results!$E$1:$F$1,0)),"")</f>
        <v/>
      </c>
      <c r="D205" s="6"/>
      <c r="E205" s="11"/>
      <c r="F205" s="11"/>
      <c r="G205" s="11"/>
      <c r="H205" s="11"/>
      <c r="M205" s="4" t="str">
        <f t="array" ref="M205">iferror(transpose(INDIRECT(SUBSTITUTE($C205," ","_"))),"")</f>
        <v/>
      </c>
    </row>
    <row r="206" ht="15.75" customHeight="1">
      <c r="A206" s="6"/>
      <c r="B206" s="8"/>
      <c r="C206" s="4" t="str">
        <f t="array" ref="C206">iferror(INDEX(Fixtures_Results!$E$2:$F$12,MATCH($A206,Fixtures_Results!$A$2:$A$12,0),MATCH("BatTeam"&amp;2*1/$B206,Fixtures_Results!$E$1:$F$1,0)),"")</f>
        <v/>
      </c>
      <c r="D206" s="6"/>
      <c r="E206" s="11"/>
      <c r="F206" s="11"/>
      <c r="G206" s="11"/>
      <c r="H206" s="11"/>
      <c r="M206" s="4" t="str">
        <f t="array" ref="M206">iferror(transpose(INDIRECT(SUBSTITUTE($C206," ","_"))),"")</f>
        <v/>
      </c>
    </row>
    <row r="207" ht="15.75" customHeight="1">
      <c r="A207" s="6"/>
      <c r="B207" s="8"/>
      <c r="C207" s="4" t="str">
        <f t="array" ref="C207">iferror(INDEX(Fixtures_Results!$E$2:$F$12,MATCH($A207,Fixtures_Results!$A$2:$A$12,0),MATCH("BatTeam"&amp;2*1/$B207,Fixtures_Results!$E$1:$F$1,0)),"")</f>
        <v/>
      </c>
      <c r="D207" s="6"/>
      <c r="E207" s="11"/>
      <c r="F207" s="11"/>
      <c r="G207" s="11"/>
      <c r="H207" s="11"/>
      <c r="M207" s="4" t="str">
        <f t="array" ref="M207">iferror(transpose(INDIRECT(SUBSTITUTE($C207," ","_"))),"")</f>
        <v/>
      </c>
    </row>
    <row r="208" ht="15.75" customHeight="1">
      <c r="A208" s="6"/>
      <c r="B208" s="8"/>
      <c r="C208" s="4" t="str">
        <f t="array" ref="C208">iferror(INDEX(Fixtures_Results!$E$2:$F$12,MATCH($A208,Fixtures_Results!$A$2:$A$12,0),MATCH("BatTeam"&amp;2*1/$B208,Fixtures_Results!$E$1:$F$1,0)),"")</f>
        <v/>
      </c>
      <c r="D208" s="6"/>
      <c r="E208" s="11"/>
      <c r="F208" s="11"/>
      <c r="G208" s="11"/>
      <c r="H208" s="11"/>
      <c r="M208" s="4" t="str">
        <f t="array" ref="M208">iferror(transpose(INDIRECT(SUBSTITUTE($C208," ","_"))),"")</f>
        <v/>
      </c>
    </row>
    <row r="209" ht="15.75" customHeight="1">
      <c r="A209" s="6"/>
      <c r="B209" s="8"/>
      <c r="C209" s="4" t="str">
        <f t="array" ref="C209">iferror(INDEX(Fixtures_Results!$E$2:$F$12,MATCH($A209,Fixtures_Results!$A$2:$A$12,0),MATCH("BatTeam"&amp;2*1/$B209,Fixtures_Results!$E$1:$F$1,0)),"")</f>
        <v/>
      </c>
      <c r="D209" s="6"/>
      <c r="E209" s="11"/>
      <c r="F209" s="11"/>
      <c r="G209" s="11"/>
      <c r="H209" s="11"/>
      <c r="M209" s="4" t="str">
        <f t="array" ref="M209">iferror(transpose(INDIRECT(SUBSTITUTE($C209," ","_"))),"")</f>
        <v/>
      </c>
    </row>
    <row r="210" ht="15.75" customHeight="1">
      <c r="A210" s="6"/>
      <c r="B210" s="8"/>
      <c r="C210" s="4" t="str">
        <f t="array" ref="C210">iferror(INDEX(Fixtures_Results!$E$2:$F$12,MATCH($A210,Fixtures_Results!$A$2:$A$12,0),MATCH("BatTeam"&amp;2*1/$B210,Fixtures_Results!$E$1:$F$1,0)),"")</f>
        <v/>
      </c>
      <c r="D210" s="6"/>
      <c r="E210" s="11"/>
      <c r="F210" s="11"/>
      <c r="G210" s="11"/>
      <c r="H210" s="11"/>
      <c r="M210" s="4" t="str">
        <f t="array" ref="M210">iferror(transpose(INDIRECT(SUBSTITUTE($C210," ","_"))),"")</f>
        <v/>
      </c>
    </row>
    <row r="211" ht="15.75" customHeight="1">
      <c r="A211" s="6"/>
      <c r="B211" s="8"/>
      <c r="C211" s="4" t="str">
        <f t="array" ref="C211">iferror(INDEX(Fixtures_Results!$E$2:$F$12,MATCH($A211,Fixtures_Results!$A$2:$A$12,0),MATCH("BatTeam"&amp;2*1/$B211,Fixtures_Results!$E$1:$F$1,0)),"")</f>
        <v/>
      </c>
      <c r="D211" s="6"/>
      <c r="E211" s="11"/>
      <c r="F211" s="11"/>
      <c r="G211" s="11"/>
      <c r="H211" s="11"/>
      <c r="M211" s="4" t="str">
        <f t="array" ref="M211">iferror(transpose(INDIRECT(SUBSTITUTE($C211," ","_"))),"")</f>
        <v/>
      </c>
    </row>
    <row r="212" ht="15.75" customHeight="1">
      <c r="A212" s="6"/>
      <c r="B212" s="8"/>
      <c r="C212" s="4" t="str">
        <f t="array" ref="C212">iferror(INDEX(Fixtures_Results!$E$2:$F$12,MATCH($A212,Fixtures_Results!$A$2:$A$12,0),MATCH("BatTeam"&amp;2*1/$B212,Fixtures_Results!$E$1:$F$1,0)),"")</f>
        <v/>
      </c>
      <c r="D212" s="6"/>
      <c r="E212" s="11"/>
      <c r="F212" s="11"/>
      <c r="G212" s="11"/>
      <c r="H212" s="11"/>
      <c r="M212" s="4" t="str">
        <f t="array" ref="M212">iferror(transpose(INDIRECT(SUBSTITUTE($C212," ","_"))),"")</f>
        <v/>
      </c>
    </row>
    <row r="213" ht="15.75" customHeight="1">
      <c r="A213" s="6"/>
      <c r="B213" s="8"/>
      <c r="C213" s="4" t="str">
        <f t="array" ref="C213">iferror(INDEX(Fixtures_Results!$E$2:$F$12,MATCH($A213,Fixtures_Results!$A$2:$A$12,0),MATCH("BatTeam"&amp;2*1/$B213,Fixtures_Results!$E$1:$F$1,0)),"")</f>
        <v/>
      </c>
      <c r="D213" s="6"/>
      <c r="E213" s="11"/>
      <c r="F213" s="11"/>
      <c r="G213" s="11"/>
      <c r="H213" s="11"/>
      <c r="M213" s="4" t="str">
        <f t="array" ref="M213">iferror(transpose(INDIRECT(SUBSTITUTE($C213," ","_"))),"")</f>
        <v/>
      </c>
    </row>
    <row r="214" ht="15.75" customHeight="1">
      <c r="A214" s="6"/>
      <c r="B214" s="8"/>
      <c r="C214" s="4" t="str">
        <f t="array" ref="C214">iferror(INDEX(Fixtures_Results!$E$2:$F$12,MATCH($A214,Fixtures_Results!$A$2:$A$12,0),MATCH("BatTeam"&amp;2*1/$B214,Fixtures_Results!$E$1:$F$1,0)),"")</f>
        <v/>
      </c>
      <c r="D214" s="6"/>
      <c r="E214" s="11"/>
      <c r="F214" s="11"/>
      <c r="G214" s="11"/>
      <c r="H214" s="11"/>
      <c r="M214" s="4" t="str">
        <f t="array" ref="M214">iferror(transpose(INDIRECT(SUBSTITUTE($C214," ","_"))),"")</f>
        <v/>
      </c>
    </row>
    <row r="215" ht="15.75" customHeight="1">
      <c r="A215" s="6"/>
      <c r="B215" s="8"/>
      <c r="C215" s="4" t="str">
        <f t="array" ref="C215">iferror(INDEX(Fixtures_Results!$E$2:$F$12,MATCH($A215,Fixtures_Results!$A$2:$A$12,0),MATCH("BatTeam"&amp;2*1/$B215,Fixtures_Results!$E$1:$F$1,0)),"")</f>
        <v/>
      </c>
      <c r="D215" s="6"/>
      <c r="E215" s="11"/>
      <c r="F215" s="11"/>
      <c r="G215" s="11"/>
      <c r="H215" s="11"/>
      <c r="M215" s="4" t="str">
        <f t="array" ref="M215">iferror(transpose(INDIRECT(SUBSTITUTE($C215," ","_"))),"")</f>
        <v/>
      </c>
    </row>
    <row r="216" ht="15.75" customHeight="1">
      <c r="A216" s="6"/>
      <c r="B216" s="8"/>
      <c r="C216" s="4" t="str">
        <f t="array" ref="C216">iferror(INDEX(Fixtures_Results!$E$2:$F$12,MATCH($A216,Fixtures_Results!$A$2:$A$12,0),MATCH("BatTeam"&amp;2*1/$B216,Fixtures_Results!$E$1:$F$1,0)),"")</f>
        <v/>
      </c>
      <c r="D216" s="6"/>
      <c r="E216" s="11"/>
      <c r="F216" s="11"/>
      <c r="G216" s="11"/>
      <c r="H216" s="11"/>
      <c r="M216" s="4" t="str">
        <f t="array" ref="M216">iferror(transpose(INDIRECT(SUBSTITUTE($C216," ","_"))),"")</f>
        <v/>
      </c>
    </row>
    <row r="217" ht="15.75" customHeight="1">
      <c r="A217" s="6"/>
      <c r="B217" s="8"/>
      <c r="C217" s="4" t="str">
        <f t="array" ref="C217">iferror(INDEX(Fixtures_Results!$E$2:$F$12,MATCH($A217,Fixtures_Results!$A$2:$A$12,0),MATCH("BatTeam"&amp;2*1/$B217,Fixtures_Results!$E$1:$F$1,0)),"")</f>
        <v/>
      </c>
      <c r="D217" s="6"/>
      <c r="E217" s="11"/>
      <c r="F217" s="11"/>
      <c r="G217" s="11"/>
      <c r="H217" s="11"/>
      <c r="M217" s="4" t="str">
        <f t="array" ref="M217">iferror(transpose(INDIRECT(SUBSTITUTE($C217," ","_"))),"")</f>
        <v/>
      </c>
    </row>
    <row r="218" ht="15.75" customHeight="1">
      <c r="A218" s="6"/>
      <c r="B218" s="8"/>
      <c r="C218" s="4" t="str">
        <f t="array" ref="C218">iferror(INDEX(Fixtures_Results!$E$2:$F$12,MATCH($A218,Fixtures_Results!$A$2:$A$12,0),MATCH("BatTeam"&amp;2*1/$B218,Fixtures_Results!$E$1:$F$1,0)),"")</f>
        <v/>
      </c>
      <c r="D218" s="6"/>
      <c r="E218" s="11"/>
      <c r="F218" s="11"/>
      <c r="G218" s="11"/>
      <c r="H218" s="11"/>
      <c r="M218" s="4" t="str">
        <f t="array" ref="M218">iferror(transpose(INDIRECT(SUBSTITUTE($C218," ","_"))),"")</f>
        <v/>
      </c>
    </row>
    <row r="219" ht="15.75" customHeight="1">
      <c r="A219" s="6"/>
      <c r="B219" s="8"/>
      <c r="C219" s="4" t="str">
        <f t="array" ref="C219">iferror(INDEX(Fixtures_Results!$E$2:$F$12,MATCH($A219,Fixtures_Results!$A$2:$A$12,0),MATCH("BatTeam"&amp;2*1/$B219,Fixtures_Results!$E$1:$F$1,0)),"")</f>
        <v/>
      </c>
      <c r="D219" s="6"/>
      <c r="E219" s="11"/>
      <c r="F219" s="11"/>
      <c r="G219" s="11"/>
      <c r="H219" s="11"/>
      <c r="M219" s="4" t="str">
        <f t="array" ref="M219">iferror(transpose(INDIRECT(SUBSTITUTE($C219," ","_"))),"")</f>
        <v/>
      </c>
    </row>
    <row r="220" ht="15.75" customHeight="1">
      <c r="A220" s="6"/>
      <c r="B220" s="8"/>
      <c r="C220" s="4" t="str">
        <f t="array" ref="C220">iferror(INDEX(Fixtures_Results!$E$2:$F$12,MATCH($A220,Fixtures_Results!$A$2:$A$12,0),MATCH("BatTeam"&amp;2*1/$B220,Fixtures_Results!$E$1:$F$1,0)),"")</f>
        <v/>
      </c>
      <c r="D220" s="6"/>
      <c r="E220" s="11"/>
      <c r="F220" s="11"/>
      <c r="G220" s="11"/>
      <c r="H220" s="11"/>
      <c r="M220" s="4" t="str">
        <f t="array" ref="M220">iferror(transpose(INDIRECT(SUBSTITUTE($C220," ","_"))),"")</f>
        <v/>
      </c>
    </row>
    <row r="221" ht="15.75" customHeight="1">
      <c r="A221" s="6"/>
      <c r="B221" s="8"/>
      <c r="C221" s="4" t="str">
        <f t="array" ref="C221">iferror(INDEX(Fixtures_Results!$E$2:$F$12,MATCH($A221,Fixtures_Results!$A$2:$A$12,0),MATCH("BatTeam"&amp;2*1/$B221,Fixtures_Results!$E$1:$F$1,0)),"")</f>
        <v/>
      </c>
      <c r="D221" s="6"/>
      <c r="E221" s="11"/>
      <c r="F221" s="11"/>
      <c r="G221" s="11"/>
      <c r="H221" s="11"/>
      <c r="M221" s="4" t="str">
        <f t="array" ref="M221">iferror(transpose(INDIRECT(SUBSTITUTE($C221," ","_"))),"")</f>
        <v/>
      </c>
    </row>
    <row r="222" ht="15.75" customHeight="1">
      <c r="A222" s="6"/>
      <c r="B222" s="8"/>
      <c r="C222" s="4" t="str">
        <f t="array" ref="C222">iferror(INDEX(Fixtures_Results!$E$2:$F$12,MATCH($A222,Fixtures_Results!$A$2:$A$12,0),MATCH("BatTeam"&amp;2*1/$B222,Fixtures_Results!$E$1:$F$1,0)),"")</f>
        <v/>
      </c>
      <c r="D222" s="6"/>
      <c r="E222" s="11"/>
      <c r="F222" s="11"/>
      <c r="G222" s="11"/>
      <c r="H222" s="11"/>
      <c r="M222" s="4" t="str">
        <f t="array" ref="M222">iferror(transpose(INDIRECT(SUBSTITUTE($C222," ","_"))),"")</f>
        <v/>
      </c>
    </row>
    <row r="223" ht="15.75" customHeight="1">
      <c r="A223" s="6"/>
      <c r="B223" s="8"/>
      <c r="C223" s="4" t="str">
        <f t="array" ref="C223">iferror(INDEX(Fixtures_Results!$E$2:$F$12,MATCH($A223,Fixtures_Results!$A$2:$A$12,0),MATCH("BatTeam"&amp;2*1/$B223,Fixtures_Results!$E$1:$F$1,0)),"")</f>
        <v/>
      </c>
      <c r="D223" s="6"/>
      <c r="E223" s="11"/>
      <c r="F223" s="11"/>
      <c r="G223" s="11"/>
      <c r="H223" s="11"/>
      <c r="M223" s="4" t="str">
        <f t="array" ref="M223">iferror(transpose(INDIRECT(SUBSTITUTE($C223," ","_"))),"")</f>
        <v/>
      </c>
    </row>
    <row r="224" ht="15.75" customHeight="1">
      <c r="A224" s="6"/>
      <c r="B224" s="8"/>
      <c r="C224" s="4" t="str">
        <f t="array" ref="C224">iferror(INDEX(Fixtures_Results!$E$2:$F$12,MATCH($A224,Fixtures_Results!$A$2:$A$12,0),MATCH("BatTeam"&amp;2*1/$B224,Fixtures_Results!$E$1:$F$1,0)),"")</f>
        <v/>
      </c>
      <c r="D224" s="6"/>
      <c r="E224" s="11"/>
      <c r="F224" s="11"/>
      <c r="G224" s="11"/>
      <c r="H224" s="11"/>
      <c r="M224" s="4" t="str">
        <f t="array" ref="M224">iferror(transpose(INDIRECT(SUBSTITUTE($C224," ","_"))),"")</f>
        <v/>
      </c>
    </row>
    <row r="225" ht="15.75" customHeight="1">
      <c r="A225" s="6"/>
      <c r="B225" s="8"/>
      <c r="C225" s="4" t="str">
        <f t="array" ref="C225">iferror(INDEX(Fixtures_Results!$E$2:$F$12,MATCH($A225,Fixtures_Results!$A$2:$A$12,0),MATCH("BatTeam"&amp;2*1/$B225,Fixtures_Results!$E$1:$F$1,0)),"")</f>
        <v/>
      </c>
      <c r="D225" s="6"/>
      <c r="E225" s="11"/>
      <c r="F225" s="11"/>
      <c r="G225" s="11"/>
      <c r="H225" s="11"/>
      <c r="M225" s="4" t="str">
        <f t="array" ref="M225">iferror(transpose(INDIRECT(SUBSTITUTE($C225," ","_"))),"")</f>
        <v/>
      </c>
    </row>
    <row r="226" ht="15.75" customHeight="1">
      <c r="A226" s="6"/>
      <c r="B226" s="8"/>
      <c r="C226" s="4" t="str">
        <f t="array" ref="C226">iferror(INDEX(Fixtures_Results!$E$2:$F$12,MATCH($A226,Fixtures_Results!$A$2:$A$12,0),MATCH("BatTeam"&amp;2*1/$B226,Fixtures_Results!$E$1:$F$1,0)),"")</f>
        <v/>
      </c>
      <c r="D226" s="6"/>
      <c r="E226" s="11"/>
      <c r="F226" s="11"/>
      <c r="G226" s="11"/>
      <c r="H226" s="11"/>
      <c r="M226" s="4" t="str">
        <f t="array" ref="M226">iferror(transpose(INDIRECT(SUBSTITUTE($C226," ","_"))),"")</f>
        <v/>
      </c>
    </row>
    <row r="227" ht="15.75" customHeight="1">
      <c r="A227" s="6"/>
      <c r="B227" s="8"/>
      <c r="C227" s="4" t="str">
        <f t="array" ref="C227">iferror(INDEX(Fixtures_Results!$E$2:$F$12,MATCH($A227,Fixtures_Results!$A$2:$A$12,0),MATCH("BatTeam"&amp;2*1/$B227,Fixtures_Results!$E$1:$F$1,0)),"")</f>
        <v/>
      </c>
      <c r="D227" s="6"/>
      <c r="E227" s="11"/>
      <c r="F227" s="11"/>
      <c r="G227" s="11"/>
      <c r="H227" s="11"/>
      <c r="M227" s="4" t="str">
        <f t="array" ref="M227">iferror(transpose(INDIRECT(SUBSTITUTE($C227," ","_"))),"")</f>
        <v/>
      </c>
    </row>
    <row r="228" ht="15.75" customHeight="1">
      <c r="A228" s="6"/>
      <c r="B228" s="8"/>
      <c r="C228" s="4" t="str">
        <f t="array" ref="C228">iferror(INDEX(Fixtures_Results!$E$2:$F$12,MATCH($A228,Fixtures_Results!$A$2:$A$12,0),MATCH("BatTeam"&amp;2*1/$B228,Fixtures_Results!$E$1:$F$1,0)),"")</f>
        <v/>
      </c>
      <c r="D228" s="6"/>
      <c r="E228" s="11"/>
      <c r="F228" s="11"/>
      <c r="G228" s="11"/>
      <c r="H228" s="11"/>
      <c r="M228" s="4" t="str">
        <f t="array" ref="M228">iferror(transpose(INDIRECT(SUBSTITUTE($C228," ","_"))),"")</f>
        <v/>
      </c>
    </row>
    <row r="229" ht="15.75" customHeight="1">
      <c r="A229" s="6"/>
      <c r="B229" s="8"/>
      <c r="C229" s="4" t="str">
        <f t="array" ref="C229">iferror(INDEX(Fixtures_Results!$E$2:$F$12,MATCH($A229,Fixtures_Results!$A$2:$A$12,0),MATCH("BatTeam"&amp;2*1/$B229,Fixtures_Results!$E$1:$F$1,0)),"")</f>
        <v/>
      </c>
      <c r="D229" s="6"/>
      <c r="E229" s="11"/>
      <c r="F229" s="11"/>
      <c r="G229" s="11"/>
      <c r="H229" s="11"/>
      <c r="M229" s="4" t="str">
        <f t="array" ref="M229">iferror(transpose(INDIRECT(SUBSTITUTE($C229," ","_"))),"")</f>
        <v/>
      </c>
    </row>
    <row r="230" ht="15.75" customHeight="1">
      <c r="A230" s="6"/>
      <c r="B230" s="8"/>
      <c r="C230" s="4" t="str">
        <f t="array" ref="C230">iferror(INDEX(Fixtures_Results!$E$2:$F$12,MATCH($A230,Fixtures_Results!$A$2:$A$12,0),MATCH("BatTeam"&amp;2*1/$B230,Fixtures_Results!$E$1:$F$1,0)),"")</f>
        <v/>
      </c>
      <c r="D230" s="6"/>
      <c r="E230" s="11"/>
      <c r="F230" s="11"/>
      <c r="G230" s="11"/>
      <c r="H230" s="11"/>
      <c r="M230" s="4" t="str">
        <f t="array" ref="M230">iferror(transpose(INDIRECT(SUBSTITUTE($C230," ","_"))),"")</f>
        <v/>
      </c>
    </row>
    <row r="231" ht="15.75" customHeight="1">
      <c r="A231" s="6"/>
      <c r="B231" s="8"/>
      <c r="C231" s="4" t="str">
        <f t="array" ref="C231">iferror(INDEX(Fixtures_Results!$E$2:$F$12,MATCH($A231,Fixtures_Results!$A$2:$A$12,0),MATCH("BatTeam"&amp;2*1/$B231,Fixtures_Results!$E$1:$F$1,0)),"")</f>
        <v/>
      </c>
      <c r="D231" s="6"/>
      <c r="E231" s="11"/>
      <c r="F231" s="11"/>
      <c r="G231" s="11"/>
      <c r="H231" s="11"/>
      <c r="M231" s="4" t="str">
        <f t="array" ref="M231">iferror(transpose(INDIRECT(SUBSTITUTE($C231," ","_"))),"")</f>
        <v/>
      </c>
    </row>
    <row r="232" ht="15.75" customHeight="1">
      <c r="A232" s="6"/>
      <c r="B232" s="8"/>
      <c r="C232" s="4" t="str">
        <f t="array" ref="C232">iferror(INDEX(Fixtures_Results!$E$2:$F$12,MATCH($A232,Fixtures_Results!$A$2:$A$12,0),MATCH("BatTeam"&amp;2*1/$B232,Fixtures_Results!$E$1:$F$1,0)),"")</f>
        <v/>
      </c>
      <c r="D232" s="6"/>
      <c r="E232" s="11"/>
      <c r="F232" s="11"/>
      <c r="G232" s="11"/>
      <c r="H232" s="11"/>
      <c r="M232" s="4" t="str">
        <f t="array" ref="M232">iferror(transpose(INDIRECT(SUBSTITUTE($C232," ","_"))),"")</f>
        <v/>
      </c>
    </row>
    <row r="233" ht="15.75" customHeight="1">
      <c r="A233" s="6"/>
      <c r="B233" s="8"/>
      <c r="C233" s="4" t="str">
        <f t="array" ref="C233">iferror(INDEX(Fixtures_Results!$E$2:$F$12,MATCH($A233,Fixtures_Results!$A$2:$A$12,0),MATCH("BatTeam"&amp;2*1/$B233,Fixtures_Results!$E$1:$F$1,0)),"")</f>
        <v/>
      </c>
      <c r="D233" s="6"/>
      <c r="E233" s="11"/>
      <c r="F233" s="11"/>
      <c r="G233" s="11"/>
      <c r="H233" s="11"/>
      <c r="M233" s="4" t="str">
        <f t="array" ref="M233">iferror(transpose(INDIRECT(SUBSTITUTE($C233," ","_"))),"")</f>
        <v/>
      </c>
    </row>
    <row r="234" ht="15.75" customHeight="1">
      <c r="A234" s="6"/>
      <c r="B234" s="8"/>
      <c r="C234" s="4" t="str">
        <f t="array" ref="C234">iferror(INDEX(Fixtures_Results!$E$2:$F$12,MATCH($A234,Fixtures_Results!$A$2:$A$12,0),MATCH("BatTeam"&amp;2*1/$B234,Fixtures_Results!$E$1:$F$1,0)),"")</f>
        <v/>
      </c>
      <c r="D234" s="6"/>
      <c r="E234" s="11"/>
      <c r="F234" s="11"/>
      <c r="G234" s="11"/>
      <c r="H234" s="11"/>
      <c r="M234" s="4" t="str">
        <f t="array" ref="M234">iferror(transpose(INDIRECT(SUBSTITUTE($C234," ","_"))),"")</f>
        <v/>
      </c>
    </row>
    <row r="235" ht="15.75" customHeight="1">
      <c r="A235" s="6"/>
      <c r="B235" s="8"/>
      <c r="C235" s="4" t="str">
        <f t="array" ref="C235">iferror(INDEX(Fixtures_Results!$E$2:$F$12,MATCH($A235,Fixtures_Results!$A$2:$A$12,0),MATCH("BatTeam"&amp;2*1/$B235,Fixtures_Results!$E$1:$F$1,0)),"")</f>
        <v/>
      </c>
      <c r="D235" s="6"/>
      <c r="E235" s="11"/>
      <c r="F235" s="11"/>
      <c r="G235" s="11"/>
      <c r="H235" s="11"/>
      <c r="M235" s="4" t="str">
        <f t="array" ref="M235">iferror(transpose(INDIRECT(SUBSTITUTE($C235," ","_"))),"")</f>
        <v/>
      </c>
    </row>
    <row r="236" ht="15.75" customHeight="1">
      <c r="A236" s="6"/>
      <c r="B236" s="8"/>
      <c r="C236" s="4" t="str">
        <f t="array" ref="C236">iferror(INDEX(Fixtures_Results!$E$2:$F$12,MATCH($A236,Fixtures_Results!$A$2:$A$12,0),MATCH("BatTeam"&amp;2*1/$B236,Fixtures_Results!$E$1:$F$1,0)),"")</f>
        <v/>
      </c>
      <c r="D236" s="6"/>
      <c r="E236" s="11"/>
      <c r="F236" s="11"/>
      <c r="G236" s="11"/>
      <c r="H236" s="11"/>
      <c r="M236" s="4" t="str">
        <f t="array" ref="M236">iferror(transpose(INDIRECT(SUBSTITUTE($C236," ","_"))),"")</f>
        <v/>
      </c>
    </row>
    <row r="237" ht="15.75" customHeight="1">
      <c r="A237" s="6"/>
      <c r="B237" s="8"/>
      <c r="C237" s="4" t="str">
        <f t="array" ref="C237">iferror(INDEX(Fixtures_Results!$E$2:$F$12,MATCH($A237,Fixtures_Results!$A$2:$A$12,0),MATCH("BatTeam"&amp;2*1/$B237,Fixtures_Results!$E$1:$F$1,0)),"")</f>
        <v/>
      </c>
      <c r="D237" s="6"/>
      <c r="E237" s="11"/>
      <c r="F237" s="11"/>
      <c r="G237" s="11"/>
      <c r="H237" s="11"/>
      <c r="M237" s="4" t="str">
        <f t="array" ref="M237">iferror(transpose(INDIRECT(SUBSTITUTE($C237," ","_"))),"")</f>
        <v/>
      </c>
    </row>
    <row r="238" ht="15.75" customHeight="1">
      <c r="A238" s="6"/>
      <c r="B238" s="8"/>
      <c r="C238" s="4" t="str">
        <f t="array" ref="C238">iferror(INDEX(Fixtures_Results!$E$2:$F$12,MATCH($A238,Fixtures_Results!$A$2:$A$12,0),MATCH("BatTeam"&amp;2*1/$B238,Fixtures_Results!$E$1:$F$1,0)),"")</f>
        <v/>
      </c>
      <c r="D238" s="6"/>
      <c r="E238" s="11"/>
      <c r="F238" s="11"/>
      <c r="G238" s="11"/>
      <c r="H238" s="11"/>
      <c r="M238" s="4" t="str">
        <f t="array" ref="M238">iferror(transpose(INDIRECT(SUBSTITUTE($C238," ","_"))),"")</f>
        <v/>
      </c>
    </row>
    <row r="239" ht="15.75" customHeight="1">
      <c r="A239" s="6"/>
      <c r="B239" s="8"/>
      <c r="C239" s="4" t="str">
        <f t="array" ref="C239">iferror(INDEX(Fixtures_Results!$E$2:$F$12,MATCH($A239,Fixtures_Results!$A$2:$A$12,0),MATCH("BatTeam"&amp;2*1/$B239,Fixtures_Results!$E$1:$F$1,0)),"")</f>
        <v/>
      </c>
      <c r="D239" s="6"/>
      <c r="E239" s="11"/>
      <c r="F239" s="11"/>
      <c r="G239" s="11"/>
      <c r="H239" s="11"/>
      <c r="M239" s="4" t="str">
        <f t="array" ref="M239">iferror(transpose(INDIRECT(SUBSTITUTE($C239," ","_"))),"")</f>
        <v/>
      </c>
    </row>
    <row r="240" ht="15.75" customHeight="1">
      <c r="A240" s="6"/>
      <c r="B240" s="8"/>
      <c r="C240" s="4" t="str">
        <f t="array" ref="C240">iferror(INDEX(Fixtures_Results!$E$2:$F$12,MATCH($A240,Fixtures_Results!$A$2:$A$12,0),MATCH("BatTeam"&amp;2*1/$B240,Fixtures_Results!$E$1:$F$1,0)),"")</f>
        <v/>
      </c>
      <c r="D240" s="6"/>
      <c r="E240" s="11"/>
      <c r="F240" s="11"/>
      <c r="G240" s="11"/>
      <c r="H240" s="11"/>
      <c r="M240" s="4" t="str">
        <f t="array" ref="M240">iferror(transpose(INDIRECT(SUBSTITUTE($C240," ","_"))),"")</f>
        <v/>
      </c>
    </row>
    <row r="241" ht="15.75" customHeight="1">
      <c r="A241" s="6"/>
      <c r="B241" s="8"/>
      <c r="C241" s="4" t="str">
        <f t="array" ref="C241">iferror(INDEX(Fixtures_Results!$E$2:$F$12,MATCH($A241,Fixtures_Results!$A$2:$A$12,0),MATCH("BatTeam"&amp;2*1/$B241,Fixtures_Results!$E$1:$F$1,0)),"")</f>
        <v/>
      </c>
      <c r="D241" s="6"/>
      <c r="E241" s="11"/>
      <c r="F241" s="11"/>
      <c r="G241" s="11"/>
      <c r="H241" s="11"/>
      <c r="M241" s="4" t="str">
        <f t="array" ref="M241">iferror(transpose(INDIRECT(SUBSTITUTE($C241," ","_"))),"")</f>
        <v/>
      </c>
    </row>
    <row r="242" ht="15.75" customHeight="1">
      <c r="A242" s="6"/>
      <c r="B242" s="8"/>
      <c r="C242" s="4" t="str">
        <f t="array" ref="C242">iferror(INDEX(Fixtures_Results!$E$2:$F$12,MATCH($A242,Fixtures_Results!$A$2:$A$12,0),MATCH("BatTeam"&amp;2*1/$B242,Fixtures_Results!$E$1:$F$1,0)),"")</f>
        <v/>
      </c>
      <c r="D242" s="6"/>
      <c r="E242" s="11"/>
      <c r="F242" s="11"/>
      <c r="G242" s="11"/>
      <c r="H242" s="11"/>
      <c r="M242" s="4" t="str">
        <f t="array" ref="M242">iferror(transpose(INDIRECT(SUBSTITUTE($C242," ","_"))),"")</f>
        <v/>
      </c>
    </row>
    <row r="243" ht="15.75" customHeight="1">
      <c r="A243" s="6"/>
      <c r="B243" s="8"/>
      <c r="C243" s="4" t="str">
        <f t="array" ref="C243">iferror(INDEX(Fixtures_Results!$E$2:$F$12,MATCH($A243,Fixtures_Results!$A$2:$A$12,0),MATCH("BatTeam"&amp;2*1/$B243,Fixtures_Results!$E$1:$F$1,0)),"")</f>
        <v/>
      </c>
      <c r="D243" s="6"/>
      <c r="E243" s="11"/>
      <c r="F243" s="11"/>
      <c r="G243" s="11"/>
      <c r="H243" s="11"/>
      <c r="M243" s="4" t="str">
        <f t="array" ref="M243">iferror(transpose(INDIRECT(SUBSTITUTE($C243," ","_"))),"")</f>
        <v/>
      </c>
    </row>
    <row r="244" ht="15.75" customHeight="1">
      <c r="A244" s="6"/>
      <c r="B244" s="8"/>
      <c r="C244" s="4" t="str">
        <f t="array" ref="C244">iferror(INDEX(Fixtures_Results!$E$2:$F$12,MATCH($A244,Fixtures_Results!$A$2:$A$12,0),MATCH("BatTeam"&amp;2*1/$B244,Fixtures_Results!$E$1:$F$1,0)),"")</f>
        <v/>
      </c>
      <c r="D244" s="6"/>
      <c r="E244" s="11"/>
      <c r="F244" s="11"/>
      <c r="G244" s="11"/>
      <c r="H244" s="11"/>
      <c r="M244" s="4" t="str">
        <f t="array" ref="M244">iferror(transpose(INDIRECT(SUBSTITUTE($C244," ","_"))),"")</f>
        <v/>
      </c>
    </row>
    <row r="245" ht="15.75" customHeight="1">
      <c r="A245" s="6"/>
      <c r="B245" s="8"/>
      <c r="C245" s="4" t="str">
        <f t="array" ref="C245">iferror(INDEX(Fixtures_Results!$E$2:$F$12,MATCH($A245,Fixtures_Results!$A$2:$A$12,0),MATCH("BatTeam"&amp;2*1/$B245,Fixtures_Results!$E$1:$F$1,0)),"")</f>
        <v/>
      </c>
      <c r="D245" s="6"/>
      <c r="E245" s="11"/>
      <c r="F245" s="11"/>
      <c r="G245" s="11"/>
      <c r="H245" s="11"/>
      <c r="M245" s="4" t="str">
        <f t="array" ref="M245">iferror(transpose(INDIRECT(SUBSTITUTE($C245," ","_"))),"")</f>
        <v/>
      </c>
    </row>
    <row r="246" ht="15.75" customHeight="1">
      <c r="A246" s="6"/>
      <c r="B246" s="8"/>
      <c r="C246" s="4" t="str">
        <f t="array" ref="C246">iferror(INDEX(Fixtures_Results!$E$2:$F$12,MATCH($A246,Fixtures_Results!$A$2:$A$12,0),MATCH("BatTeam"&amp;2*1/$B246,Fixtures_Results!$E$1:$F$1,0)),"")</f>
        <v/>
      </c>
      <c r="D246" s="6"/>
      <c r="E246" s="11"/>
      <c r="F246" s="11"/>
      <c r="G246" s="11"/>
      <c r="H246" s="11"/>
      <c r="M246" s="4" t="str">
        <f t="array" ref="M246">iferror(transpose(INDIRECT(SUBSTITUTE($C246," ","_"))),"")</f>
        <v/>
      </c>
    </row>
    <row r="247" ht="15.75" customHeight="1">
      <c r="A247" s="6"/>
      <c r="B247" s="8"/>
      <c r="C247" s="4" t="str">
        <f t="array" ref="C247">iferror(INDEX(Fixtures_Results!$E$2:$F$12,MATCH($A247,Fixtures_Results!$A$2:$A$12,0),MATCH("BatTeam"&amp;2*1/$B247,Fixtures_Results!$E$1:$F$1,0)),"")</f>
        <v/>
      </c>
      <c r="D247" s="6"/>
      <c r="E247" s="11"/>
      <c r="F247" s="11"/>
      <c r="G247" s="11"/>
      <c r="H247" s="11"/>
      <c r="M247" s="4" t="str">
        <f t="array" ref="M247">iferror(transpose(INDIRECT(SUBSTITUTE($C247," ","_"))),"")</f>
        <v/>
      </c>
    </row>
    <row r="248" ht="15.75" customHeight="1">
      <c r="A248" s="6"/>
      <c r="B248" s="8"/>
      <c r="C248" s="4" t="str">
        <f t="array" ref="C248">iferror(INDEX(Fixtures_Results!$E$2:$F$12,MATCH($A248,Fixtures_Results!$A$2:$A$12,0),MATCH("BatTeam"&amp;2*1/$B248,Fixtures_Results!$E$1:$F$1,0)),"")</f>
        <v/>
      </c>
      <c r="D248" s="6"/>
      <c r="E248" s="11"/>
      <c r="F248" s="11"/>
      <c r="G248" s="11"/>
      <c r="H248" s="11"/>
      <c r="M248" s="4" t="str">
        <f t="array" ref="M248">iferror(transpose(INDIRECT(SUBSTITUTE($C248," ","_"))),"")</f>
        <v/>
      </c>
    </row>
    <row r="249" ht="15.75" customHeight="1">
      <c r="A249" s="6"/>
      <c r="B249" s="8"/>
      <c r="C249" s="4" t="str">
        <f t="array" ref="C249">iferror(INDEX(Fixtures_Results!$E$2:$F$12,MATCH($A249,Fixtures_Results!$A$2:$A$12,0),MATCH("BatTeam"&amp;2*1/$B249,Fixtures_Results!$E$1:$F$1,0)),"")</f>
        <v/>
      </c>
      <c r="D249" s="6"/>
      <c r="E249" s="11"/>
      <c r="F249" s="11"/>
      <c r="G249" s="11"/>
      <c r="H249" s="11"/>
      <c r="M249" s="4" t="str">
        <f t="array" ref="M249">iferror(transpose(INDIRECT(SUBSTITUTE($C249," ","_"))),"")</f>
        <v/>
      </c>
    </row>
    <row r="250" ht="15.75" customHeight="1">
      <c r="A250" s="6"/>
      <c r="B250" s="8"/>
      <c r="C250" s="4" t="str">
        <f t="array" ref="C250">iferror(INDEX(Fixtures_Results!$E$2:$F$12,MATCH($A250,Fixtures_Results!$A$2:$A$12,0),MATCH("BatTeam"&amp;2*1/$B250,Fixtures_Results!$E$1:$F$1,0)),"")</f>
        <v/>
      </c>
      <c r="D250" s="6"/>
      <c r="E250" s="11"/>
      <c r="F250" s="11"/>
      <c r="G250" s="11"/>
      <c r="H250" s="11"/>
      <c r="M250" s="4" t="str">
        <f t="array" ref="M250">iferror(transpose(INDIRECT(SUBSTITUTE($C250," ","_"))),"")</f>
        <v/>
      </c>
    </row>
    <row r="251" ht="15.75" customHeight="1">
      <c r="A251" s="6"/>
      <c r="B251" s="8"/>
      <c r="C251" s="4" t="str">
        <f t="array" ref="C251">iferror(INDEX(Fixtures_Results!$E$2:$F$12,MATCH($A251,Fixtures_Results!$A$2:$A$12,0),MATCH("BatTeam"&amp;2*1/$B251,Fixtures_Results!$E$1:$F$1,0)),"")</f>
        <v/>
      </c>
      <c r="D251" s="6"/>
      <c r="E251" s="11"/>
      <c r="F251" s="11"/>
      <c r="G251" s="11"/>
      <c r="H251" s="11"/>
      <c r="M251" s="4" t="str">
        <f t="array" ref="M251">iferror(transpose(INDIRECT(SUBSTITUTE($C251," ","_"))),"")</f>
        <v/>
      </c>
    </row>
    <row r="252" ht="15.75" customHeight="1">
      <c r="A252" s="6"/>
      <c r="B252" s="8"/>
      <c r="C252" s="4" t="str">
        <f t="array" ref="C252">iferror(INDEX(Fixtures_Results!$E$2:$F$12,MATCH($A252,Fixtures_Results!$A$2:$A$12,0),MATCH("BatTeam"&amp;2*1/$B252,Fixtures_Results!$E$1:$F$1,0)),"")</f>
        <v/>
      </c>
      <c r="D252" s="6"/>
      <c r="E252" s="11"/>
      <c r="F252" s="11"/>
      <c r="G252" s="11"/>
      <c r="H252" s="11"/>
      <c r="M252" s="4" t="str">
        <f t="array" ref="M252">iferror(transpose(INDIRECT(SUBSTITUTE($C252," ","_"))),"")</f>
        <v/>
      </c>
    </row>
    <row r="253" ht="15.75" customHeight="1">
      <c r="A253" s="6"/>
      <c r="B253" s="8"/>
      <c r="C253" s="4" t="str">
        <f t="array" ref="C253">iferror(INDEX(Fixtures_Results!$E$2:$F$12,MATCH($A253,Fixtures_Results!$A$2:$A$12,0),MATCH("BatTeam"&amp;2*1/$B253,Fixtures_Results!$E$1:$F$1,0)),"")</f>
        <v/>
      </c>
      <c r="D253" s="6"/>
      <c r="E253" s="11"/>
      <c r="F253" s="11"/>
      <c r="G253" s="11"/>
      <c r="H253" s="11"/>
      <c r="M253" s="4" t="str">
        <f t="array" ref="M253">iferror(transpose(INDIRECT(SUBSTITUTE($C253," ","_"))),"")</f>
        <v/>
      </c>
    </row>
    <row r="254" ht="15.75" customHeight="1">
      <c r="A254" s="6"/>
      <c r="B254" s="8"/>
      <c r="C254" s="4" t="str">
        <f t="array" ref="C254">iferror(INDEX(Fixtures_Results!$E$2:$F$12,MATCH($A254,Fixtures_Results!$A$2:$A$12,0),MATCH("BatTeam"&amp;2*1/$B254,Fixtures_Results!$E$1:$F$1,0)),"")</f>
        <v/>
      </c>
      <c r="D254" s="6"/>
      <c r="E254" s="11"/>
      <c r="F254" s="11"/>
      <c r="G254" s="11"/>
      <c r="H254" s="11"/>
      <c r="M254" s="4" t="str">
        <f t="array" ref="M254">iferror(transpose(INDIRECT(SUBSTITUTE($C254," ","_"))),"")</f>
        <v/>
      </c>
    </row>
    <row r="255" ht="15.75" customHeight="1">
      <c r="A255" s="6"/>
      <c r="B255" s="8"/>
      <c r="C255" s="4" t="str">
        <f t="array" ref="C255">iferror(INDEX(Fixtures_Results!$E$2:$F$12,MATCH($A255,Fixtures_Results!$A$2:$A$12,0),MATCH("BatTeam"&amp;2*1/$B255,Fixtures_Results!$E$1:$F$1,0)),"")</f>
        <v/>
      </c>
      <c r="D255" s="6"/>
      <c r="E255" s="11"/>
      <c r="F255" s="11"/>
      <c r="G255" s="11"/>
      <c r="H255" s="11"/>
      <c r="M255" s="4" t="str">
        <f t="array" ref="M255">iferror(transpose(INDIRECT(SUBSTITUTE($C255," ","_"))),"")</f>
        <v/>
      </c>
    </row>
    <row r="256" ht="15.75" customHeight="1">
      <c r="A256" s="6"/>
      <c r="B256" s="8"/>
      <c r="C256" s="4" t="str">
        <f t="array" ref="C256">iferror(INDEX(Fixtures_Results!$E$2:$F$12,MATCH($A256,Fixtures_Results!$A$2:$A$12,0),MATCH("BatTeam"&amp;2*1/$B256,Fixtures_Results!$E$1:$F$1,0)),"")</f>
        <v/>
      </c>
      <c r="D256" s="6"/>
      <c r="E256" s="11"/>
      <c r="F256" s="11"/>
      <c r="G256" s="11"/>
      <c r="H256" s="11"/>
      <c r="M256" s="4" t="str">
        <f t="array" ref="M256">iferror(transpose(INDIRECT(SUBSTITUTE($C256," ","_"))),"")</f>
        <v/>
      </c>
    </row>
    <row r="257" ht="15.75" customHeight="1">
      <c r="A257" s="6"/>
      <c r="B257" s="8"/>
      <c r="C257" s="4" t="str">
        <f t="array" ref="C257">iferror(INDEX(Fixtures_Results!$E$2:$F$12,MATCH($A257,Fixtures_Results!$A$2:$A$12,0),MATCH("BatTeam"&amp;2*1/$B257,Fixtures_Results!$E$1:$F$1,0)),"")</f>
        <v/>
      </c>
      <c r="D257" s="6"/>
      <c r="E257" s="11"/>
      <c r="F257" s="11"/>
      <c r="G257" s="11"/>
      <c r="H257" s="11"/>
      <c r="M257" s="4" t="str">
        <f t="array" ref="M257">iferror(transpose(INDIRECT(SUBSTITUTE($C257," ","_"))),"")</f>
        <v/>
      </c>
    </row>
    <row r="258" ht="15.75" customHeight="1">
      <c r="A258" s="6"/>
      <c r="B258" s="8"/>
      <c r="C258" s="4" t="str">
        <f t="array" ref="C258">iferror(INDEX(Fixtures_Results!$E$2:$F$12,MATCH($A258,Fixtures_Results!$A$2:$A$12,0),MATCH("BatTeam"&amp;2*1/$B258,Fixtures_Results!$E$1:$F$1,0)),"")</f>
        <v/>
      </c>
      <c r="D258" s="6"/>
      <c r="E258" s="11"/>
      <c r="F258" s="11"/>
      <c r="G258" s="11"/>
      <c r="H258" s="11"/>
      <c r="M258" s="4" t="str">
        <f t="array" ref="M258">iferror(transpose(INDIRECT(SUBSTITUTE($C258," ","_"))),"")</f>
        <v/>
      </c>
    </row>
    <row r="259" ht="15.75" customHeight="1">
      <c r="A259" s="6"/>
      <c r="B259" s="8"/>
      <c r="C259" s="4" t="str">
        <f t="array" ref="C259">iferror(INDEX(Fixtures_Results!$E$2:$F$12,MATCH($A259,Fixtures_Results!$A$2:$A$12,0),MATCH("BatTeam"&amp;2*1/$B259,Fixtures_Results!$E$1:$F$1,0)),"")</f>
        <v/>
      </c>
      <c r="D259" s="6"/>
      <c r="E259" s="11"/>
      <c r="F259" s="11"/>
      <c r="G259" s="11"/>
      <c r="H259" s="11"/>
      <c r="M259" s="4" t="str">
        <f t="array" ref="M259">iferror(transpose(INDIRECT(SUBSTITUTE($C259," ","_"))),"")</f>
        <v/>
      </c>
    </row>
    <row r="260" ht="15.75" customHeight="1">
      <c r="A260" s="6"/>
      <c r="B260" s="8"/>
      <c r="C260" s="4" t="str">
        <f t="array" ref="C260">iferror(INDEX(Fixtures_Results!$E$2:$F$12,MATCH($A260,Fixtures_Results!$A$2:$A$12,0),MATCH("BatTeam"&amp;2*1/$B260,Fixtures_Results!$E$1:$F$1,0)),"")</f>
        <v/>
      </c>
      <c r="D260" s="6"/>
      <c r="E260" s="11"/>
      <c r="F260" s="11"/>
      <c r="G260" s="11"/>
      <c r="H260" s="11"/>
      <c r="M260" s="4" t="str">
        <f t="array" ref="M260">iferror(transpose(INDIRECT(SUBSTITUTE($C260," ","_"))),"")</f>
        <v/>
      </c>
    </row>
    <row r="261" ht="15.75" customHeight="1">
      <c r="A261" s="6"/>
      <c r="B261" s="8"/>
      <c r="C261" s="4" t="str">
        <f t="array" ref="C261">iferror(INDEX(Fixtures_Results!$E$2:$F$12,MATCH($A261,Fixtures_Results!$A$2:$A$12,0),MATCH("BatTeam"&amp;2*1/$B261,Fixtures_Results!$E$1:$F$1,0)),"")</f>
        <v/>
      </c>
      <c r="D261" s="6"/>
      <c r="E261" s="11"/>
      <c r="F261" s="11"/>
      <c r="G261" s="11"/>
      <c r="H261" s="11"/>
      <c r="M261" s="4" t="str">
        <f t="array" ref="M261">iferror(transpose(INDIRECT(SUBSTITUTE($C261," ","_"))),"")</f>
        <v/>
      </c>
    </row>
    <row r="262" ht="15.75" customHeight="1">
      <c r="A262" s="6"/>
      <c r="B262" s="8"/>
      <c r="C262" s="4" t="str">
        <f t="array" ref="C262">iferror(INDEX(Fixtures_Results!$E$2:$F$12,MATCH($A262,Fixtures_Results!$A$2:$A$12,0),MATCH("BatTeam"&amp;2*1/$B262,Fixtures_Results!$E$1:$F$1,0)),"")</f>
        <v/>
      </c>
      <c r="D262" s="6"/>
      <c r="E262" s="11"/>
      <c r="F262" s="11"/>
      <c r="G262" s="11"/>
      <c r="H262" s="11"/>
      <c r="M262" s="4" t="str">
        <f t="array" ref="M262">iferror(transpose(INDIRECT(SUBSTITUTE($C262," ","_"))),"")</f>
        <v/>
      </c>
    </row>
    <row r="263" ht="15.75" customHeight="1">
      <c r="A263" s="6"/>
      <c r="B263" s="8"/>
      <c r="C263" s="4" t="str">
        <f t="array" ref="C263">iferror(INDEX(Fixtures_Results!$E$2:$F$12,MATCH($A263,Fixtures_Results!$A$2:$A$12,0),MATCH("BatTeam"&amp;2*1/$B263,Fixtures_Results!$E$1:$F$1,0)),"")</f>
        <v/>
      </c>
      <c r="D263" s="6"/>
      <c r="E263" s="11"/>
      <c r="F263" s="11"/>
      <c r="G263" s="11"/>
      <c r="H263" s="11"/>
      <c r="M263" s="4" t="str">
        <f t="array" ref="M263">iferror(transpose(INDIRECT(SUBSTITUTE($C263," ","_"))),"")</f>
        <v/>
      </c>
    </row>
    <row r="264" ht="15.75" customHeight="1">
      <c r="A264" s="6"/>
      <c r="B264" s="8"/>
      <c r="C264" s="4" t="str">
        <f t="array" ref="C264">iferror(INDEX(Fixtures_Results!$E$2:$F$12,MATCH($A264,Fixtures_Results!$A$2:$A$12,0),MATCH("BatTeam"&amp;2*1/$B264,Fixtures_Results!$E$1:$F$1,0)),"")</f>
        <v/>
      </c>
      <c r="D264" s="6"/>
      <c r="E264" s="11"/>
      <c r="F264" s="11"/>
      <c r="G264" s="11"/>
      <c r="H264" s="11"/>
      <c r="M264" s="4" t="str">
        <f t="array" ref="M264">iferror(transpose(INDIRECT(SUBSTITUTE($C264," ","_"))),"")</f>
        <v/>
      </c>
    </row>
    <row r="265" ht="15.75" customHeight="1">
      <c r="A265" s="6"/>
      <c r="B265" s="8"/>
      <c r="C265" s="4" t="str">
        <f t="array" ref="C265">iferror(INDEX(Fixtures_Results!$E$2:$F$12,MATCH($A265,Fixtures_Results!$A$2:$A$12,0),MATCH("BatTeam"&amp;2*1/$B265,Fixtures_Results!$E$1:$F$1,0)),"")</f>
        <v/>
      </c>
      <c r="D265" s="6"/>
      <c r="E265" s="11"/>
      <c r="F265" s="11"/>
      <c r="G265" s="11"/>
      <c r="H265" s="11"/>
      <c r="M265" s="4" t="str">
        <f t="array" ref="M265">iferror(transpose(INDIRECT(SUBSTITUTE($C265," ","_"))),"")</f>
        <v/>
      </c>
    </row>
    <row r="266" ht="15.75" customHeight="1">
      <c r="A266" s="6"/>
      <c r="B266" s="8"/>
      <c r="C266" s="4" t="str">
        <f t="array" ref="C266">iferror(INDEX(Fixtures_Results!$E$2:$F$12,MATCH($A266,Fixtures_Results!$A$2:$A$12,0),MATCH("BatTeam"&amp;2*1/$B266,Fixtures_Results!$E$1:$F$1,0)),"")</f>
        <v/>
      </c>
      <c r="D266" s="6"/>
      <c r="E266" s="11"/>
      <c r="F266" s="11"/>
      <c r="G266" s="11"/>
      <c r="H266" s="11"/>
      <c r="M266" s="4" t="str">
        <f t="array" ref="M266">iferror(transpose(INDIRECT(SUBSTITUTE($C266," ","_"))),"")</f>
        <v/>
      </c>
    </row>
    <row r="267" ht="15.75" customHeight="1">
      <c r="A267" s="6"/>
      <c r="B267" s="8"/>
      <c r="C267" s="4" t="str">
        <f t="array" ref="C267">iferror(INDEX(Fixtures_Results!$E$2:$F$12,MATCH($A267,Fixtures_Results!$A$2:$A$12,0),MATCH("BatTeam"&amp;2*1/$B267,Fixtures_Results!$E$1:$F$1,0)),"")</f>
        <v/>
      </c>
      <c r="D267" s="6"/>
      <c r="E267" s="11"/>
      <c r="F267" s="11"/>
      <c r="G267" s="11"/>
      <c r="H267" s="11"/>
      <c r="M267" s="4" t="str">
        <f t="array" ref="M267">iferror(transpose(INDIRECT(SUBSTITUTE($C267," ","_"))),"")</f>
        <v/>
      </c>
    </row>
    <row r="268" ht="15.75" customHeight="1">
      <c r="A268" s="6"/>
      <c r="B268" s="8"/>
      <c r="C268" s="4" t="str">
        <f t="array" ref="C268">iferror(INDEX(Fixtures_Results!$E$2:$F$12,MATCH($A268,Fixtures_Results!$A$2:$A$12,0),MATCH("BatTeam"&amp;2*1/$B268,Fixtures_Results!$E$1:$F$1,0)),"")</f>
        <v/>
      </c>
      <c r="D268" s="6"/>
      <c r="E268" s="11"/>
      <c r="F268" s="11"/>
      <c r="G268" s="11"/>
      <c r="H268" s="11"/>
      <c r="M268" s="4" t="str">
        <f t="array" ref="M268">iferror(transpose(INDIRECT(SUBSTITUTE($C268," ","_"))),"")</f>
        <v/>
      </c>
    </row>
    <row r="269" ht="15.75" customHeight="1">
      <c r="A269" s="6"/>
      <c r="B269" s="8"/>
      <c r="C269" s="4" t="str">
        <f t="array" ref="C269">iferror(INDEX(Fixtures_Results!$E$2:$F$12,MATCH($A269,Fixtures_Results!$A$2:$A$12,0),MATCH("BatTeam"&amp;2*1/$B269,Fixtures_Results!$E$1:$F$1,0)),"")</f>
        <v/>
      </c>
      <c r="D269" s="6"/>
      <c r="E269" s="11"/>
      <c r="F269" s="11"/>
      <c r="G269" s="11"/>
      <c r="H269" s="11"/>
      <c r="M269" s="4" t="str">
        <f t="array" ref="M269">iferror(transpose(INDIRECT(SUBSTITUTE($C269," ","_"))),"")</f>
        <v/>
      </c>
    </row>
    <row r="270" ht="15.75" customHeight="1">
      <c r="A270" s="6"/>
      <c r="B270" s="8"/>
      <c r="C270" s="4" t="str">
        <f t="array" ref="C270">iferror(INDEX(Fixtures_Results!$E$2:$F$12,MATCH($A270,Fixtures_Results!$A$2:$A$12,0),MATCH("BatTeam"&amp;2*1/$B270,Fixtures_Results!$E$1:$F$1,0)),"")</f>
        <v/>
      </c>
      <c r="D270" s="6"/>
      <c r="E270" s="11"/>
      <c r="F270" s="11"/>
      <c r="G270" s="11"/>
      <c r="H270" s="11"/>
      <c r="M270" s="4" t="str">
        <f t="array" ref="M270">iferror(transpose(INDIRECT(SUBSTITUTE($C270," ","_"))),"")</f>
        <v/>
      </c>
    </row>
    <row r="271" ht="15.75" customHeight="1">
      <c r="A271" s="6"/>
      <c r="B271" s="8"/>
      <c r="C271" s="4" t="str">
        <f t="array" ref="C271">iferror(INDEX(Fixtures_Results!$E$2:$F$12,MATCH($A271,Fixtures_Results!$A$2:$A$12,0),MATCH("BatTeam"&amp;2*1/$B271,Fixtures_Results!$E$1:$F$1,0)),"")</f>
        <v/>
      </c>
      <c r="D271" s="6"/>
      <c r="E271" s="11"/>
      <c r="F271" s="11"/>
      <c r="G271" s="11"/>
      <c r="H271" s="11"/>
      <c r="M271" s="4" t="str">
        <f t="array" ref="M271">iferror(transpose(INDIRECT(SUBSTITUTE($C271," ","_"))),"")</f>
        <v/>
      </c>
    </row>
    <row r="272" ht="15.75" customHeight="1">
      <c r="A272" s="6"/>
      <c r="B272" s="8"/>
      <c r="C272" s="4" t="str">
        <f t="array" ref="C272">iferror(INDEX(Fixtures_Results!$E$2:$F$12,MATCH($A272,Fixtures_Results!$A$2:$A$12,0),MATCH("BatTeam"&amp;2*1/$B272,Fixtures_Results!$E$1:$F$1,0)),"")</f>
        <v/>
      </c>
      <c r="D272" s="6"/>
      <c r="E272" s="11"/>
      <c r="F272" s="11"/>
      <c r="G272" s="11"/>
      <c r="H272" s="11"/>
      <c r="M272" s="4" t="str">
        <f t="array" ref="M272">iferror(transpose(INDIRECT(SUBSTITUTE($C272," ","_"))),"")</f>
        <v/>
      </c>
    </row>
    <row r="273" ht="15.75" customHeight="1">
      <c r="A273" s="6"/>
      <c r="B273" s="8"/>
      <c r="C273" s="4" t="str">
        <f t="array" ref="C273">iferror(INDEX(Fixtures_Results!$E$2:$F$12,MATCH($A273,Fixtures_Results!$A$2:$A$12,0),MATCH("BatTeam"&amp;2*1/$B273,Fixtures_Results!$E$1:$F$1,0)),"")</f>
        <v/>
      </c>
      <c r="D273" s="6"/>
      <c r="E273" s="11"/>
      <c r="F273" s="11"/>
      <c r="G273" s="11"/>
      <c r="H273" s="11"/>
      <c r="M273" s="4" t="str">
        <f t="array" ref="M273">iferror(transpose(INDIRECT(SUBSTITUTE($C273," ","_"))),"")</f>
        <v/>
      </c>
    </row>
    <row r="274" ht="15.75" customHeight="1">
      <c r="A274" s="6"/>
      <c r="B274" s="8"/>
      <c r="C274" s="4" t="str">
        <f t="array" ref="C274">iferror(INDEX(Fixtures_Results!$E$2:$F$12,MATCH($A274,Fixtures_Results!$A$2:$A$12,0),MATCH("BatTeam"&amp;2*1/$B274,Fixtures_Results!$E$1:$F$1,0)),"")</f>
        <v/>
      </c>
      <c r="D274" s="6"/>
      <c r="E274" s="11"/>
      <c r="F274" s="11"/>
      <c r="G274" s="11"/>
      <c r="H274" s="11"/>
      <c r="M274" s="4" t="str">
        <f t="array" ref="M274">iferror(transpose(INDIRECT(SUBSTITUTE($C274," ","_"))),"")</f>
        <v/>
      </c>
    </row>
    <row r="275" ht="15.75" customHeight="1">
      <c r="A275" s="6"/>
      <c r="B275" s="8"/>
      <c r="C275" s="4" t="str">
        <f t="array" ref="C275">iferror(INDEX(Fixtures_Results!$E$2:$F$12,MATCH($A275,Fixtures_Results!$A$2:$A$12,0),MATCH("BatTeam"&amp;2*1/$B275,Fixtures_Results!$E$1:$F$1,0)),"")</f>
        <v/>
      </c>
      <c r="D275" s="6"/>
      <c r="E275" s="11"/>
      <c r="F275" s="11"/>
      <c r="G275" s="11"/>
      <c r="H275" s="11"/>
      <c r="M275" s="4" t="str">
        <f t="array" ref="M275">iferror(transpose(INDIRECT(SUBSTITUTE($C275," ","_"))),"")</f>
        <v/>
      </c>
    </row>
    <row r="276" ht="15.75" customHeight="1">
      <c r="A276" s="6"/>
      <c r="B276" s="8"/>
      <c r="C276" s="4" t="str">
        <f t="array" ref="C276">iferror(INDEX(Fixtures_Results!$E$2:$F$12,MATCH($A276,Fixtures_Results!$A$2:$A$12,0),MATCH("BatTeam"&amp;2*1/$B276,Fixtures_Results!$E$1:$F$1,0)),"")</f>
        <v/>
      </c>
      <c r="D276" s="6"/>
      <c r="E276" s="11"/>
      <c r="F276" s="11"/>
      <c r="G276" s="11"/>
      <c r="H276" s="11"/>
      <c r="M276" s="4" t="str">
        <f t="array" ref="M276">iferror(transpose(INDIRECT(SUBSTITUTE($C276," ","_"))),"")</f>
        <v/>
      </c>
    </row>
    <row r="277" ht="15.75" customHeight="1">
      <c r="A277" s="6"/>
      <c r="B277" s="8"/>
      <c r="C277" s="4" t="str">
        <f t="array" ref="C277">iferror(INDEX(Fixtures_Results!$E$2:$F$12,MATCH($A277,Fixtures_Results!$A$2:$A$12,0),MATCH("BatTeam"&amp;2*1/$B277,Fixtures_Results!$E$1:$F$1,0)),"")</f>
        <v/>
      </c>
      <c r="D277" s="6"/>
      <c r="E277" s="11"/>
      <c r="F277" s="11"/>
      <c r="G277" s="11"/>
      <c r="H277" s="11"/>
      <c r="M277" s="4" t="str">
        <f t="array" ref="M277">iferror(transpose(INDIRECT(SUBSTITUTE($C277," ","_"))),"")</f>
        <v/>
      </c>
    </row>
    <row r="278" ht="15.75" customHeight="1">
      <c r="A278" s="6"/>
      <c r="B278" s="8"/>
      <c r="C278" s="4" t="str">
        <f t="array" ref="C278">iferror(INDEX(Fixtures_Results!$E$2:$F$12,MATCH($A278,Fixtures_Results!$A$2:$A$12,0),MATCH("BatTeam"&amp;2*1/$B278,Fixtures_Results!$E$1:$F$1,0)),"")</f>
        <v/>
      </c>
      <c r="D278" s="6"/>
      <c r="E278" s="11"/>
      <c r="F278" s="11"/>
      <c r="G278" s="11"/>
      <c r="H278" s="11"/>
      <c r="M278" s="4" t="str">
        <f t="array" ref="M278">iferror(transpose(INDIRECT(SUBSTITUTE($C278," ","_"))),"")</f>
        <v/>
      </c>
    </row>
    <row r="279" ht="15.75" customHeight="1">
      <c r="A279" s="6"/>
      <c r="B279" s="8"/>
      <c r="C279" s="4" t="str">
        <f t="array" ref="C279">iferror(INDEX(Fixtures_Results!$E$2:$F$12,MATCH($A279,Fixtures_Results!$A$2:$A$12,0),MATCH("BatTeam"&amp;2*1/$B279,Fixtures_Results!$E$1:$F$1,0)),"")</f>
        <v/>
      </c>
      <c r="D279" s="6"/>
      <c r="E279" s="11"/>
      <c r="F279" s="11"/>
      <c r="G279" s="11"/>
      <c r="H279" s="11"/>
      <c r="M279" s="4" t="str">
        <f t="array" ref="M279">iferror(transpose(INDIRECT(SUBSTITUTE($C279," ","_"))),"")</f>
        <v/>
      </c>
    </row>
    <row r="280" ht="15.75" customHeight="1">
      <c r="A280" s="6"/>
      <c r="B280" s="8"/>
      <c r="C280" s="4" t="str">
        <f t="array" ref="C280">iferror(INDEX(Fixtures_Results!$E$2:$F$12,MATCH($A280,Fixtures_Results!$A$2:$A$12,0),MATCH("BatTeam"&amp;2*1/$B280,Fixtures_Results!$E$1:$F$1,0)),"")</f>
        <v/>
      </c>
      <c r="D280" s="6"/>
      <c r="E280" s="11"/>
      <c r="F280" s="11"/>
      <c r="G280" s="11"/>
      <c r="H280" s="11"/>
      <c r="M280" s="4" t="str">
        <f t="array" ref="M280">iferror(transpose(INDIRECT(SUBSTITUTE($C280," ","_"))),"")</f>
        <v/>
      </c>
    </row>
    <row r="281" ht="15.75" customHeight="1">
      <c r="A281" s="6"/>
      <c r="B281" s="8"/>
      <c r="C281" s="4" t="str">
        <f t="array" ref="C281">iferror(INDEX(Fixtures_Results!$E$2:$F$12,MATCH($A281,Fixtures_Results!$A$2:$A$12,0),MATCH("BatTeam"&amp;2*1/$B281,Fixtures_Results!$E$1:$F$1,0)),"")</f>
        <v/>
      </c>
      <c r="D281" s="6"/>
      <c r="E281" s="11"/>
      <c r="F281" s="11"/>
      <c r="G281" s="11"/>
      <c r="H281" s="11"/>
      <c r="M281" s="4" t="str">
        <f t="array" ref="M281">iferror(transpose(INDIRECT(SUBSTITUTE($C281," ","_"))),"")</f>
        <v/>
      </c>
    </row>
    <row r="282" ht="15.75" customHeight="1">
      <c r="A282" s="6"/>
      <c r="B282" s="8"/>
      <c r="C282" s="4" t="str">
        <f t="array" ref="C282">iferror(INDEX(Fixtures_Results!$E$2:$F$12,MATCH($A282,Fixtures_Results!$A$2:$A$12,0),MATCH("BatTeam"&amp;2*1/$B282,Fixtures_Results!$E$1:$F$1,0)),"")</f>
        <v/>
      </c>
      <c r="D282" s="6"/>
      <c r="E282" s="11"/>
      <c r="F282" s="11"/>
      <c r="G282" s="11"/>
      <c r="H282" s="11"/>
      <c r="M282" s="4" t="str">
        <f t="array" ref="M282">iferror(transpose(INDIRECT(SUBSTITUTE($C282," ","_"))),"")</f>
        <v/>
      </c>
    </row>
    <row r="283" ht="15.75" customHeight="1">
      <c r="A283" s="6"/>
      <c r="B283" s="8"/>
      <c r="C283" s="4" t="str">
        <f t="array" ref="C283">iferror(INDEX(Fixtures_Results!$E$2:$F$12,MATCH($A283,Fixtures_Results!$A$2:$A$12,0),MATCH("BatTeam"&amp;2*1/$B283,Fixtures_Results!$E$1:$F$1,0)),"")</f>
        <v/>
      </c>
      <c r="D283" s="6"/>
      <c r="E283" s="11"/>
      <c r="F283" s="11"/>
      <c r="G283" s="11"/>
      <c r="H283" s="11"/>
      <c r="M283" s="4" t="str">
        <f t="array" ref="M283">iferror(transpose(INDIRECT(SUBSTITUTE($C283," ","_"))),"")</f>
        <v/>
      </c>
    </row>
    <row r="284" ht="15.75" customHeight="1">
      <c r="A284" s="6"/>
      <c r="B284" s="8"/>
      <c r="C284" s="4" t="str">
        <f t="array" ref="C284">iferror(INDEX(Fixtures_Results!$E$2:$F$12,MATCH($A284,Fixtures_Results!$A$2:$A$12,0),MATCH("BatTeam"&amp;2*1/$B284,Fixtures_Results!$E$1:$F$1,0)),"")</f>
        <v/>
      </c>
      <c r="D284" s="6"/>
      <c r="E284" s="11"/>
      <c r="F284" s="11"/>
      <c r="G284" s="11"/>
      <c r="H284" s="11"/>
      <c r="M284" s="4" t="str">
        <f t="array" ref="M284">iferror(transpose(INDIRECT(SUBSTITUTE($C284," ","_"))),"")</f>
        <v/>
      </c>
    </row>
    <row r="285" ht="15.75" customHeight="1">
      <c r="A285" s="6"/>
      <c r="B285" s="8"/>
      <c r="C285" s="4" t="str">
        <f t="array" ref="C285">iferror(INDEX(Fixtures_Results!$E$2:$F$12,MATCH($A285,Fixtures_Results!$A$2:$A$12,0),MATCH("BatTeam"&amp;2*1/$B285,Fixtures_Results!$E$1:$F$1,0)),"")</f>
        <v/>
      </c>
      <c r="D285" s="6"/>
      <c r="E285" s="11"/>
      <c r="F285" s="11"/>
      <c r="G285" s="11"/>
      <c r="H285" s="11"/>
      <c r="M285" s="4" t="str">
        <f t="array" ref="M285">iferror(transpose(INDIRECT(SUBSTITUTE($C285," ","_"))),"")</f>
        <v/>
      </c>
    </row>
    <row r="286" ht="15.75" customHeight="1">
      <c r="A286" s="6"/>
      <c r="B286" s="8"/>
      <c r="C286" s="4" t="str">
        <f t="array" ref="C286">iferror(INDEX(Fixtures_Results!$E$2:$F$12,MATCH($A286,Fixtures_Results!$A$2:$A$12,0),MATCH("BatTeam"&amp;2*1/$B286,Fixtures_Results!$E$1:$F$1,0)),"")</f>
        <v/>
      </c>
      <c r="D286" s="6"/>
      <c r="E286" s="11"/>
      <c r="F286" s="11"/>
      <c r="G286" s="11"/>
      <c r="H286" s="11"/>
      <c r="M286" s="4" t="str">
        <f t="array" ref="M286">iferror(transpose(INDIRECT(SUBSTITUTE($C286," ","_"))),"")</f>
        <v/>
      </c>
    </row>
    <row r="287" ht="15.75" customHeight="1">
      <c r="A287" s="6"/>
      <c r="B287" s="8"/>
      <c r="C287" s="4" t="str">
        <f t="array" ref="C287">iferror(INDEX(Fixtures_Results!$E$2:$F$12,MATCH($A287,Fixtures_Results!$A$2:$A$12,0),MATCH("BatTeam"&amp;2*1/$B287,Fixtures_Results!$E$1:$F$1,0)),"")</f>
        <v/>
      </c>
      <c r="D287" s="6"/>
      <c r="E287" s="11"/>
      <c r="F287" s="11"/>
      <c r="G287" s="11"/>
      <c r="H287" s="11"/>
      <c r="M287" s="4" t="str">
        <f t="array" ref="M287">iferror(transpose(INDIRECT(SUBSTITUTE($C287," ","_"))),"")</f>
        <v/>
      </c>
    </row>
    <row r="288" ht="15.75" customHeight="1">
      <c r="A288" s="6"/>
      <c r="B288" s="8"/>
      <c r="C288" s="4" t="str">
        <f t="array" ref="C288">iferror(INDEX(Fixtures_Results!$E$2:$F$12,MATCH($A288,Fixtures_Results!$A$2:$A$12,0),MATCH("BatTeam"&amp;2*1/$B288,Fixtures_Results!$E$1:$F$1,0)),"")</f>
        <v/>
      </c>
      <c r="D288" s="6"/>
      <c r="E288" s="11"/>
      <c r="F288" s="11"/>
      <c r="G288" s="11"/>
      <c r="H288" s="11"/>
      <c r="M288" s="4" t="str">
        <f t="array" ref="M288">iferror(transpose(INDIRECT(SUBSTITUTE($C288," ","_"))),"")</f>
        <v/>
      </c>
    </row>
    <row r="289" ht="15.75" customHeight="1">
      <c r="A289" s="6"/>
      <c r="B289" s="8"/>
      <c r="C289" s="4" t="str">
        <f t="array" ref="C289">iferror(INDEX(Fixtures_Results!$E$2:$F$12,MATCH($A289,Fixtures_Results!$A$2:$A$12,0),MATCH("BatTeam"&amp;2*1/$B289,Fixtures_Results!$E$1:$F$1,0)),"")</f>
        <v/>
      </c>
      <c r="D289" s="6"/>
      <c r="E289" s="11"/>
      <c r="F289" s="11"/>
      <c r="G289" s="11"/>
      <c r="H289" s="11"/>
      <c r="M289" s="4" t="str">
        <f t="array" ref="M289">iferror(transpose(INDIRECT(SUBSTITUTE($C289," ","_"))),"")</f>
        <v/>
      </c>
    </row>
    <row r="290" ht="15.75" customHeight="1">
      <c r="A290" s="6"/>
      <c r="B290" s="8"/>
      <c r="C290" s="4" t="str">
        <f t="array" ref="C290">iferror(INDEX(Fixtures_Results!$E$2:$F$12,MATCH($A290,Fixtures_Results!$A$2:$A$12,0),MATCH("BatTeam"&amp;2*1/$B290,Fixtures_Results!$E$1:$F$1,0)),"")</f>
        <v/>
      </c>
      <c r="D290" s="6"/>
      <c r="E290" s="11"/>
      <c r="F290" s="11"/>
      <c r="G290" s="11"/>
      <c r="H290" s="11"/>
      <c r="M290" s="4" t="str">
        <f t="array" ref="M290">iferror(transpose(INDIRECT(SUBSTITUTE($C290," ","_"))),"")</f>
        <v/>
      </c>
    </row>
    <row r="291" ht="15.75" customHeight="1">
      <c r="A291" s="6"/>
      <c r="B291" s="8"/>
      <c r="C291" s="4" t="str">
        <f t="array" ref="C291">iferror(INDEX(Fixtures_Results!$E$2:$F$12,MATCH($A291,Fixtures_Results!$A$2:$A$12,0),MATCH("BatTeam"&amp;2*1/$B291,Fixtures_Results!$E$1:$F$1,0)),"")</f>
        <v/>
      </c>
      <c r="D291" s="6"/>
      <c r="E291" s="11"/>
      <c r="F291" s="11"/>
      <c r="G291" s="11"/>
      <c r="H291" s="11"/>
      <c r="M291" s="4" t="str">
        <f t="array" ref="M291">iferror(transpose(INDIRECT(SUBSTITUTE($C291," ","_"))),"")</f>
        <v/>
      </c>
    </row>
    <row r="292" ht="15.75" customHeight="1">
      <c r="A292" s="6"/>
      <c r="B292" s="8"/>
      <c r="C292" s="4" t="str">
        <f t="array" ref="C292">iferror(INDEX(Fixtures_Results!$E$2:$F$12,MATCH($A292,Fixtures_Results!$A$2:$A$12,0),MATCH("BatTeam"&amp;2*1/$B292,Fixtures_Results!$E$1:$F$1,0)),"")</f>
        <v/>
      </c>
      <c r="D292" s="6"/>
      <c r="E292" s="11"/>
      <c r="F292" s="11"/>
      <c r="G292" s="11"/>
      <c r="H292" s="11"/>
      <c r="M292" s="4" t="str">
        <f t="array" ref="M292">iferror(transpose(INDIRECT(SUBSTITUTE($C292," ","_"))),"")</f>
        <v/>
      </c>
    </row>
    <row r="293" ht="15.75" customHeight="1">
      <c r="A293" s="6"/>
      <c r="B293" s="8"/>
      <c r="C293" s="4" t="str">
        <f t="array" ref="C293">iferror(INDEX(Fixtures_Results!$E$2:$F$12,MATCH($A293,Fixtures_Results!$A$2:$A$12,0),MATCH("BatTeam"&amp;2*1/$B293,Fixtures_Results!$E$1:$F$1,0)),"")</f>
        <v/>
      </c>
      <c r="D293" s="6"/>
      <c r="E293" s="11"/>
      <c r="F293" s="11"/>
      <c r="G293" s="11"/>
      <c r="H293" s="11"/>
      <c r="M293" s="4" t="str">
        <f t="array" ref="M293">iferror(transpose(INDIRECT(SUBSTITUTE($C293," ","_"))),"")</f>
        <v/>
      </c>
    </row>
    <row r="294" ht="15.75" customHeight="1">
      <c r="A294" s="6"/>
      <c r="B294" s="8"/>
      <c r="C294" s="4" t="str">
        <f t="array" ref="C294">iferror(INDEX(Fixtures_Results!$E$2:$F$12,MATCH($A294,Fixtures_Results!$A$2:$A$12,0),MATCH("BatTeam"&amp;2*1/$B294,Fixtures_Results!$E$1:$F$1,0)),"")</f>
        <v/>
      </c>
      <c r="D294" s="6"/>
      <c r="E294" s="11"/>
      <c r="F294" s="11"/>
      <c r="G294" s="11"/>
      <c r="H294" s="11"/>
      <c r="M294" s="4" t="str">
        <f t="array" ref="M294">iferror(transpose(INDIRECT(SUBSTITUTE($C294," ","_"))),"")</f>
        <v/>
      </c>
    </row>
    <row r="295" ht="15.75" customHeight="1">
      <c r="A295" s="6"/>
      <c r="B295" s="8"/>
      <c r="C295" s="4" t="str">
        <f t="array" ref="C295">iferror(INDEX(Fixtures_Results!$E$2:$F$12,MATCH($A295,Fixtures_Results!$A$2:$A$12,0),MATCH("BatTeam"&amp;2*1/$B295,Fixtures_Results!$E$1:$F$1,0)),"")</f>
        <v/>
      </c>
      <c r="D295" s="6"/>
      <c r="E295" s="11"/>
      <c r="F295" s="11"/>
      <c r="G295" s="11"/>
      <c r="H295" s="11"/>
      <c r="M295" s="4" t="str">
        <f t="array" ref="M295">iferror(transpose(INDIRECT(SUBSTITUTE($C295," ","_"))),"")</f>
        <v/>
      </c>
    </row>
    <row r="296" ht="15.75" customHeight="1">
      <c r="A296" s="6"/>
      <c r="B296" s="8"/>
      <c r="C296" s="4" t="str">
        <f t="array" ref="C296">iferror(INDEX(Fixtures_Results!$E$2:$F$12,MATCH($A296,Fixtures_Results!$A$2:$A$12,0),MATCH("BatTeam"&amp;2*1/$B296,Fixtures_Results!$E$1:$F$1,0)),"")</f>
        <v/>
      </c>
      <c r="D296" s="6"/>
      <c r="E296" s="11"/>
      <c r="F296" s="11"/>
      <c r="G296" s="11"/>
      <c r="H296" s="11"/>
      <c r="M296" s="4" t="str">
        <f t="array" ref="M296">iferror(transpose(INDIRECT(SUBSTITUTE($C296," ","_"))),"")</f>
        <v/>
      </c>
    </row>
    <row r="297" ht="15.75" customHeight="1">
      <c r="A297" s="6"/>
      <c r="B297" s="8"/>
      <c r="C297" s="4" t="str">
        <f t="array" ref="C297">iferror(INDEX(Fixtures_Results!$E$2:$F$12,MATCH($A297,Fixtures_Results!$A$2:$A$12,0),MATCH("BatTeam"&amp;2*1/$B297,Fixtures_Results!$E$1:$F$1,0)),"")</f>
        <v/>
      </c>
      <c r="D297" s="6"/>
      <c r="E297" s="11"/>
      <c r="F297" s="11"/>
      <c r="G297" s="11"/>
      <c r="H297" s="11"/>
      <c r="M297" s="4" t="str">
        <f t="array" ref="M297">iferror(transpose(INDIRECT(SUBSTITUTE($C297," ","_"))),"")</f>
        <v/>
      </c>
    </row>
    <row r="298" ht="15.75" customHeight="1">
      <c r="A298" s="6"/>
      <c r="B298" s="8"/>
      <c r="C298" s="4" t="str">
        <f t="array" ref="C298">iferror(INDEX(Fixtures_Results!$E$2:$F$12,MATCH($A298,Fixtures_Results!$A$2:$A$12,0),MATCH("BatTeam"&amp;2*1/$B298,Fixtures_Results!$E$1:$F$1,0)),"")</f>
        <v/>
      </c>
      <c r="D298" s="6"/>
      <c r="E298" s="11"/>
      <c r="F298" s="11"/>
      <c r="G298" s="11"/>
      <c r="H298" s="11"/>
      <c r="M298" s="4" t="str">
        <f t="array" ref="M298">iferror(transpose(INDIRECT(SUBSTITUTE($C298," ","_"))),"")</f>
        <v/>
      </c>
    </row>
    <row r="299" ht="15.75" customHeight="1">
      <c r="A299" s="6"/>
      <c r="B299" s="8"/>
      <c r="C299" s="4" t="str">
        <f t="array" ref="C299">iferror(INDEX(Fixtures_Results!$E$2:$F$12,MATCH($A299,Fixtures_Results!$A$2:$A$12,0),MATCH("BatTeam"&amp;2*1/$B299,Fixtures_Results!$E$1:$F$1,0)),"")</f>
        <v/>
      </c>
      <c r="D299" s="6"/>
      <c r="E299" s="11"/>
      <c r="F299" s="11"/>
      <c r="G299" s="11"/>
      <c r="H299" s="11"/>
      <c r="M299" s="4" t="str">
        <f t="array" ref="M299">iferror(transpose(INDIRECT(SUBSTITUTE($C299," ","_"))),"")</f>
        <v/>
      </c>
    </row>
    <row r="300" ht="15.75" customHeight="1">
      <c r="A300" s="6"/>
      <c r="B300" s="8"/>
      <c r="C300" s="4" t="str">
        <f t="array" ref="C300">iferror(INDEX(Fixtures_Results!$E$2:$F$12,MATCH($A300,Fixtures_Results!$A$2:$A$12,0),MATCH("BatTeam"&amp;2*1/$B300,Fixtures_Results!$E$1:$F$1,0)),"")</f>
        <v/>
      </c>
      <c r="D300" s="6"/>
      <c r="E300" s="11"/>
      <c r="F300" s="11"/>
      <c r="G300" s="11"/>
      <c r="H300" s="11"/>
      <c r="M300" s="4" t="str">
        <f t="array" ref="M300">iferror(transpose(INDIRECT(SUBSTITUTE($C300," ","_"))),"")</f>
        <v/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300">
      <formula1>"1,2,3,4,5,6,7,8,9,10,11"</formula1>
    </dataValidation>
    <dataValidation type="list" allowBlank="1" sqref="D2:D300">
      <formula1>Bowling!M2:S2</formula1>
    </dataValidation>
    <dataValidation type="list" allowBlank="1" showErrorMessage="1" sqref="B2:B300">
      <formula1>"1,2"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26" width="8.71"/>
  </cols>
  <sheetData>
    <row r="1">
      <c r="A1" s="1" t="s">
        <v>35</v>
      </c>
      <c r="B1" s="1" t="s">
        <v>60</v>
      </c>
    </row>
    <row r="2">
      <c r="A2" s="4" t="s">
        <v>61</v>
      </c>
      <c r="B2" s="4" t="s">
        <v>59</v>
      </c>
    </row>
    <row r="3">
      <c r="A3" s="4" t="s">
        <v>62</v>
      </c>
      <c r="B3" s="4" t="s">
        <v>59</v>
      </c>
    </row>
    <row r="4">
      <c r="A4" s="4" t="s">
        <v>63</v>
      </c>
      <c r="B4" s="4" t="s">
        <v>59</v>
      </c>
    </row>
    <row r="5">
      <c r="A5" s="4" t="s">
        <v>64</v>
      </c>
      <c r="B5" s="4" t="s">
        <v>59</v>
      </c>
    </row>
    <row r="6">
      <c r="A6" s="4" t="s">
        <v>65</v>
      </c>
      <c r="B6" s="4" t="s">
        <v>59</v>
      </c>
    </row>
    <row r="7">
      <c r="A7" s="4" t="s">
        <v>66</v>
      </c>
      <c r="B7" s="4" t="s">
        <v>59</v>
      </c>
    </row>
    <row r="8">
      <c r="A8" s="4" t="s">
        <v>67</v>
      </c>
      <c r="B8" s="4" t="s">
        <v>59</v>
      </c>
    </row>
    <row r="9">
      <c r="B9" s="4" t="s">
        <v>59</v>
      </c>
    </row>
    <row r="10">
      <c r="B10" s="4" t="s">
        <v>59</v>
      </c>
    </row>
    <row r="11">
      <c r="B11" s="4" t="s">
        <v>59</v>
      </c>
    </row>
    <row r="12">
      <c r="A12" s="4" t="s">
        <v>69</v>
      </c>
      <c r="B12" s="4" t="s">
        <v>70</v>
      </c>
    </row>
    <row r="13">
      <c r="A13" s="4" t="s">
        <v>71</v>
      </c>
      <c r="B13" s="4" t="s">
        <v>70</v>
      </c>
    </row>
    <row r="14">
      <c r="A14" s="4" t="s">
        <v>72</v>
      </c>
      <c r="B14" s="4" t="s">
        <v>70</v>
      </c>
    </row>
    <row r="15">
      <c r="A15" s="4" t="s">
        <v>73</v>
      </c>
      <c r="B15" s="4" t="s">
        <v>70</v>
      </c>
    </row>
    <row r="16">
      <c r="A16" s="4" t="s">
        <v>74</v>
      </c>
      <c r="B16" s="4" t="s">
        <v>70</v>
      </c>
    </row>
    <row r="17">
      <c r="A17" s="4" t="s">
        <v>75</v>
      </c>
      <c r="B17" s="4" t="s">
        <v>70</v>
      </c>
    </row>
    <row r="18">
      <c r="B18" s="4" t="s">
        <v>70</v>
      </c>
    </row>
    <row r="19">
      <c r="B19" s="4" t="s">
        <v>70</v>
      </c>
    </row>
    <row r="20">
      <c r="B20" s="4" t="s">
        <v>70</v>
      </c>
    </row>
    <row r="21" ht="15.75" customHeight="1">
      <c r="B21" s="4" t="s">
        <v>70</v>
      </c>
    </row>
    <row r="22" ht="15.75" customHeight="1">
      <c r="A22" s="4" t="s">
        <v>79</v>
      </c>
      <c r="B22" s="4" t="s">
        <v>58</v>
      </c>
    </row>
    <row r="23" ht="15.75" customHeight="1">
      <c r="A23" s="4" t="s">
        <v>80</v>
      </c>
      <c r="B23" s="4" t="s">
        <v>58</v>
      </c>
    </row>
    <row r="24" ht="15.75" customHeight="1">
      <c r="A24" s="4" t="s">
        <v>81</v>
      </c>
      <c r="B24" s="4" t="s">
        <v>58</v>
      </c>
    </row>
    <row r="25" ht="15.75" customHeight="1">
      <c r="A25" s="4" t="s">
        <v>82</v>
      </c>
      <c r="B25" s="4" t="s">
        <v>58</v>
      </c>
    </row>
    <row r="26" ht="15.75" customHeight="1">
      <c r="A26" s="4" t="s">
        <v>83</v>
      </c>
      <c r="B26" s="4" t="s">
        <v>58</v>
      </c>
    </row>
    <row r="27" ht="15.75" customHeight="1">
      <c r="A27" s="4" t="s">
        <v>84</v>
      </c>
      <c r="B27" s="4" t="s">
        <v>58</v>
      </c>
    </row>
    <row r="28" ht="15.75" customHeight="1">
      <c r="A28" s="4" t="s">
        <v>85</v>
      </c>
      <c r="B28" s="4" t="s">
        <v>58</v>
      </c>
    </row>
    <row r="29" ht="15.75" customHeight="1">
      <c r="B29" s="4" t="s">
        <v>58</v>
      </c>
    </row>
    <row r="30" ht="15.75" customHeight="1">
      <c r="B30" s="4" t="s">
        <v>58</v>
      </c>
    </row>
    <row r="31" ht="15.75" customHeight="1">
      <c r="B31" s="4" t="s">
        <v>58</v>
      </c>
    </row>
    <row r="32" ht="15.75" customHeight="1">
      <c r="A32" s="4" t="s">
        <v>86</v>
      </c>
      <c r="B32" s="4" t="s">
        <v>77</v>
      </c>
    </row>
    <row r="33" ht="15.75" customHeight="1">
      <c r="A33" s="4" t="s">
        <v>87</v>
      </c>
      <c r="B33" s="4" t="s">
        <v>77</v>
      </c>
    </row>
    <row r="34" ht="15.75" customHeight="1">
      <c r="A34" s="4" t="s">
        <v>89</v>
      </c>
      <c r="B34" s="4" t="s">
        <v>77</v>
      </c>
    </row>
    <row r="35" ht="15.75" customHeight="1">
      <c r="A35" s="4" t="s">
        <v>90</v>
      </c>
      <c r="B35" s="4" t="s">
        <v>77</v>
      </c>
    </row>
    <row r="36" ht="15.75" customHeight="1">
      <c r="A36" s="4" t="s">
        <v>91</v>
      </c>
      <c r="B36" s="4" t="s">
        <v>77</v>
      </c>
    </row>
    <row r="37" ht="15.75" customHeight="1">
      <c r="A37" s="4" t="s">
        <v>92</v>
      </c>
      <c r="B37" s="4" t="s">
        <v>77</v>
      </c>
    </row>
    <row r="38" ht="15.75" customHeight="1">
      <c r="B38" s="4" t="s">
        <v>77</v>
      </c>
    </row>
    <row r="39" ht="15.75" customHeight="1">
      <c r="B39" s="4" t="s">
        <v>77</v>
      </c>
    </row>
    <row r="40" ht="15.75" customHeight="1">
      <c r="B40" s="4" t="s">
        <v>77</v>
      </c>
    </row>
    <row r="41" ht="15.75" customHeight="1">
      <c r="B41" s="4" t="s">
        <v>77</v>
      </c>
    </row>
    <row r="42" ht="15.75" customHeight="1">
      <c r="A42" s="4" t="s">
        <v>93</v>
      </c>
      <c r="B42" s="4" t="s">
        <v>78</v>
      </c>
    </row>
    <row r="43" ht="15.75" customHeight="1">
      <c r="A43" s="4" t="s">
        <v>94</v>
      </c>
      <c r="B43" s="4" t="s">
        <v>78</v>
      </c>
    </row>
    <row r="44" ht="15.75" customHeight="1">
      <c r="A44" s="4" t="s">
        <v>95</v>
      </c>
      <c r="B44" s="4" t="s">
        <v>78</v>
      </c>
    </row>
    <row r="45" ht="15.75" customHeight="1">
      <c r="A45" s="4" t="s">
        <v>96</v>
      </c>
      <c r="B45" s="4" t="s">
        <v>78</v>
      </c>
    </row>
    <row r="46" ht="15.75" customHeight="1">
      <c r="A46" s="4" t="s">
        <v>97</v>
      </c>
      <c r="B46" s="4" t="s">
        <v>78</v>
      </c>
    </row>
    <row r="47" ht="15.75" customHeight="1">
      <c r="A47" s="4" t="s">
        <v>98</v>
      </c>
      <c r="B47" s="4" t="s">
        <v>78</v>
      </c>
    </row>
    <row r="48" ht="15.75" customHeight="1">
      <c r="B48" s="4" t="s">
        <v>78</v>
      </c>
    </row>
    <row r="49" ht="15.75" customHeight="1">
      <c r="B49" s="4" t="s">
        <v>78</v>
      </c>
    </row>
    <row r="50" ht="15.75" customHeight="1">
      <c r="B50" s="4" t="s">
        <v>78</v>
      </c>
    </row>
    <row r="51" ht="15.75" customHeight="1">
      <c r="B51" s="4" t="s">
        <v>78</v>
      </c>
    </row>
    <row r="52" ht="15.75" customHeight="1">
      <c r="A52" s="4" t="s">
        <v>99</v>
      </c>
      <c r="B52" s="4" t="s">
        <v>88</v>
      </c>
    </row>
    <row r="53" ht="15.75" customHeight="1">
      <c r="A53" s="4" t="s">
        <v>101</v>
      </c>
      <c r="B53" s="4" t="s">
        <v>88</v>
      </c>
    </row>
    <row r="54" ht="15.75" customHeight="1">
      <c r="A54" s="4" t="s">
        <v>103</v>
      </c>
      <c r="B54" s="4" t="s">
        <v>88</v>
      </c>
    </row>
    <row r="55" ht="15.75" customHeight="1">
      <c r="A55" s="4" t="s">
        <v>105</v>
      </c>
      <c r="B55" s="4" t="s">
        <v>88</v>
      </c>
    </row>
    <row r="56" ht="15.75" customHeight="1">
      <c r="A56" s="4" t="s">
        <v>106</v>
      </c>
      <c r="B56" s="4" t="s">
        <v>88</v>
      </c>
    </row>
    <row r="57" ht="15.75" customHeight="1">
      <c r="A57" s="4" t="s">
        <v>107</v>
      </c>
      <c r="B57" s="4" t="s">
        <v>88</v>
      </c>
    </row>
    <row r="58" ht="15.75" customHeight="1">
      <c r="A58" s="4" t="s">
        <v>108</v>
      </c>
      <c r="B58" s="4" t="s">
        <v>88</v>
      </c>
    </row>
    <row r="59" ht="15.75" customHeight="1">
      <c r="B59" s="4" t="s">
        <v>88</v>
      </c>
    </row>
    <row r="60" ht="15.75" customHeight="1">
      <c r="B60" s="4" t="s">
        <v>88</v>
      </c>
    </row>
    <row r="61" ht="15.75" customHeight="1">
      <c r="B61" s="4" t="s">
        <v>88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10.0"/>
    <col customWidth="1" min="3" max="26" width="8.71"/>
  </cols>
  <sheetData>
    <row r="1">
      <c r="A1" s="1" t="s">
        <v>60</v>
      </c>
      <c r="B1" s="1" t="s">
        <v>118</v>
      </c>
    </row>
    <row r="2">
      <c r="A2" s="4" t="s">
        <v>59</v>
      </c>
      <c r="B2" s="4" t="s">
        <v>119</v>
      </c>
    </row>
    <row r="3">
      <c r="A3" s="4" t="s">
        <v>70</v>
      </c>
      <c r="B3" s="4" t="s">
        <v>119</v>
      </c>
    </row>
    <row r="4">
      <c r="A4" s="4" t="s">
        <v>58</v>
      </c>
      <c r="B4" s="4" t="s">
        <v>119</v>
      </c>
    </row>
    <row r="5">
      <c r="A5" s="4" t="s">
        <v>77</v>
      </c>
      <c r="B5" s="4" t="s">
        <v>120</v>
      </c>
    </row>
    <row r="6">
      <c r="A6" s="4" t="s">
        <v>78</v>
      </c>
      <c r="B6" s="4" t="s">
        <v>120</v>
      </c>
    </row>
    <row r="7">
      <c r="A7" s="4" t="s">
        <v>88</v>
      </c>
      <c r="B7" s="4" t="s">
        <v>120</v>
      </c>
    </row>
    <row r="8">
      <c r="A8" s="4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